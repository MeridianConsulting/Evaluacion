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Evaluacion\Migracion de datos\"/>
    </mc:Choice>
  </mc:AlternateContent>
  <bookViews>
    <workbookView xWindow="0" yWindow="0" windowWidth="25200" windowHeight="11265"/>
  </bookViews>
  <sheets>
    <sheet name="Base Personal" sheetId="1" r:id="rId1"/>
  </sheets>
  <externalReferences>
    <externalReference r:id="rId2"/>
  </externalReferences>
  <definedNames>
    <definedName name="_xlnm._FilterDatabase" localSheetId="0" hidden="1">'Base Personal'!$A$1:$W$222</definedName>
    <definedName name="elnivel">[1]Inicio!$F$14</definedName>
    <definedName name="respuestas">[1]Parametros!$A$2:$A$7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6" i="1" l="1"/>
  <c r="J146" i="1"/>
  <c r="M145" i="1"/>
  <c r="J145" i="1"/>
  <c r="M144" i="1"/>
  <c r="J144" i="1"/>
  <c r="M143" i="1"/>
  <c r="J143" i="1"/>
  <c r="M142" i="1"/>
  <c r="J142" i="1"/>
  <c r="M141" i="1"/>
  <c r="J141" i="1"/>
  <c r="M140" i="1"/>
  <c r="J140" i="1"/>
  <c r="M139" i="1"/>
  <c r="J139" i="1"/>
  <c r="M138" i="1"/>
  <c r="J138" i="1"/>
  <c r="M137" i="1"/>
  <c r="J137" i="1"/>
  <c r="M136" i="1"/>
  <c r="J136" i="1"/>
  <c r="M135" i="1"/>
  <c r="J135" i="1"/>
  <c r="M134" i="1"/>
  <c r="J134" i="1"/>
  <c r="M133" i="1"/>
  <c r="J133" i="1"/>
  <c r="M132" i="1"/>
  <c r="J132" i="1"/>
  <c r="M131" i="1"/>
  <c r="J131" i="1"/>
  <c r="M130" i="1"/>
  <c r="J130" i="1"/>
  <c r="M129" i="1"/>
  <c r="J129" i="1"/>
  <c r="M128" i="1"/>
  <c r="J128" i="1"/>
  <c r="M127" i="1"/>
  <c r="J127" i="1"/>
  <c r="M126" i="1"/>
  <c r="J126" i="1"/>
  <c r="M125" i="1"/>
  <c r="J125" i="1"/>
  <c r="M124" i="1"/>
  <c r="J124" i="1"/>
  <c r="M123" i="1"/>
  <c r="J123" i="1"/>
  <c r="M122" i="1"/>
  <c r="J122" i="1"/>
  <c r="M121" i="1"/>
  <c r="J121" i="1"/>
  <c r="M120" i="1"/>
  <c r="J120" i="1"/>
  <c r="M119" i="1"/>
  <c r="J119" i="1"/>
  <c r="M118" i="1"/>
  <c r="J118" i="1"/>
  <c r="M117" i="1"/>
  <c r="J117" i="1"/>
  <c r="J116" i="1"/>
  <c r="J115" i="1"/>
  <c r="M114" i="1"/>
  <c r="J114" i="1"/>
  <c r="M113" i="1"/>
  <c r="J113" i="1"/>
  <c r="M112" i="1"/>
  <c r="J112" i="1"/>
  <c r="M111" i="1"/>
  <c r="J111" i="1"/>
  <c r="M110" i="1"/>
  <c r="J110" i="1"/>
  <c r="M109" i="1"/>
  <c r="J109" i="1"/>
  <c r="M108" i="1"/>
  <c r="J108" i="1"/>
  <c r="M107" i="1"/>
  <c r="J107" i="1"/>
  <c r="J96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M31" i="1"/>
  <c r="J31" i="1"/>
  <c r="J30" i="1"/>
  <c r="J29" i="1"/>
  <c r="J28" i="1"/>
  <c r="J27" i="1"/>
  <c r="J26" i="1"/>
  <c r="J25" i="1"/>
  <c r="J24" i="1"/>
  <c r="M23" i="1"/>
  <c r="J23" i="1"/>
  <c r="J22" i="1"/>
  <c r="J21" i="1"/>
  <c r="J20" i="1"/>
  <c r="J19" i="1"/>
  <c r="J18" i="1"/>
</calcChain>
</file>

<file path=xl/sharedStrings.xml><?xml version="1.0" encoding="utf-8"?>
<sst xmlns="http://schemas.openxmlformats.org/spreadsheetml/2006/main" count="2088" uniqueCount="614">
  <si>
    <t xml:space="preserve">Nombres y  Apellidos </t>
  </si>
  <si>
    <t xml:space="preserve">Tipo de documento </t>
  </si>
  <si>
    <t xml:space="preserve">N. de cedula </t>
  </si>
  <si>
    <t>Correo</t>
  </si>
  <si>
    <t xml:space="preserve">Cargo </t>
  </si>
  <si>
    <t>Area</t>
  </si>
  <si>
    <t>Fecha Inicio de Contrato</t>
  </si>
  <si>
    <t xml:space="preserve"> A quien reporta directamente</t>
  </si>
  <si>
    <t xml:space="preserve">Nivel </t>
  </si>
  <si>
    <t>Hoja Funciones</t>
  </si>
  <si>
    <t>OBJETIVO DEL CARGO A EVALUAR</t>
  </si>
  <si>
    <t>PROCESO DE GESTION</t>
  </si>
  <si>
    <t>proyecto</t>
  </si>
  <si>
    <t>ODS</t>
  </si>
  <si>
    <t>ANDREA IRENE DEL PILAR PINZON</t>
  </si>
  <si>
    <t>Cédula de Ciudadanía</t>
  </si>
  <si>
    <t>asistentegestionhumana@meridian.com.co</t>
  </si>
  <si>
    <t xml:space="preserve">Asistente de Gestión Humana y Nómina </t>
  </si>
  <si>
    <t>Administracion</t>
  </si>
  <si>
    <t>Coordinador (a) de Gestión Humana</t>
  </si>
  <si>
    <t>Funciones_Asistente_GH</t>
  </si>
  <si>
    <t xml:space="preserve">Apoyar al Coordinador(a) contable y financiero(a) a analizar, ajustar e interpretar la información financiera de la empresa, sus Consorcios y uniones temporales con el plan de cuentas,  las políticas y normas legalmente establecidas conforme a la aplicación contable en Colombia y Las Normas Internacionales de Información Financiera NIIF. </t>
  </si>
  <si>
    <t>Gestión Humana</t>
  </si>
  <si>
    <t>ADMINISTRACION</t>
  </si>
  <si>
    <t>ANDRES CAMILO CARDENAS REYES</t>
  </si>
  <si>
    <t>soporteit.nivel1@meridian.com.co</t>
  </si>
  <si>
    <t>Soporte IT Primer Nivel</t>
  </si>
  <si>
    <t>Gerente Administrativo(a) y Financiero(a)</t>
  </si>
  <si>
    <t>Funciones_Soporte_IT</t>
  </si>
  <si>
    <t xml:space="preserve">Apoyar la labor Administrativa de MERIDIAN CONSULTINGLTOA por medio de actividades asistenciales </t>
  </si>
  <si>
    <t>Gestión Administrativa</t>
  </si>
  <si>
    <t>AURA ALEJANDRA CONTRERAS TORRES</t>
  </si>
  <si>
    <t xml:space="preserve">asistenteadministrativo1@meridian.com.co </t>
  </si>
  <si>
    <t>Asistente Administrativo</t>
  </si>
  <si>
    <t>Funciones_Asistente_Adm_Dis</t>
  </si>
  <si>
    <t>Apoyar la labor Administrativa de MERIDIAN CONSULTING LTOA por medio de actividades asistenciales aplicando las normas y procedimientos establecidos, garantizando asi la prestacion efectiva del servicio.</t>
  </si>
  <si>
    <t>CESAR AUGUSTO URREGO AVENDAÑO</t>
  </si>
  <si>
    <t>currego@meridian.com.co</t>
  </si>
  <si>
    <t>Subgerente</t>
  </si>
  <si>
    <t>Gerente General</t>
  </si>
  <si>
    <t>Funciones_Subgerente</t>
  </si>
  <si>
    <t>Supervisar y tomar decisiones en conjunto con el Gerente general, acerca de problemas que tengan que ver con los clientes o al interior de la empresa. Planificar, coordinar y supervisar las actividades, recursos, infraestructura y desempeño de la Organización; analizando el desempeño de las diferentes áreas y sus procesos, elaborando e implementando en forma coordinada con los respetivos jefes de áreas: programas, presupuestos, políticas, procedimientos y métodos de evaluación y seguimiento; con el fin  que la Organización tenga un eficiente desempeño y se cumpla con los objetivos y metas estratégicas.</t>
  </si>
  <si>
    <t>Gestión Estratégica</t>
  </si>
  <si>
    <t>DANNY ALEXANDERPANCHE VICENTES</t>
  </si>
  <si>
    <t>contadorjr@meridian.com.co</t>
  </si>
  <si>
    <t>Contador Junior</t>
  </si>
  <si>
    <t>Coordinador(a) Contable y Financiero(a)</t>
  </si>
  <si>
    <t>Funciones_Contador_Junior</t>
  </si>
  <si>
    <t>Gestión Contable</t>
  </si>
  <si>
    <t>DIANA MARCELA JACOBO MANCERA</t>
  </si>
  <si>
    <t>soportehseq@meridian.com.co</t>
  </si>
  <si>
    <t xml:space="preserve">Soporte Hseq </t>
  </si>
  <si>
    <t>Coordinador HSEQ</t>
  </si>
  <si>
    <t>Funciones_Soporte_HSEQ_adm</t>
  </si>
  <si>
    <t>Apoyar en la implementación, mantenimiento y mejora de el Sistema de Gestión Integral HSEQ dentro de la Empresa</t>
  </si>
  <si>
    <t>Gestión HSEQ</t>
  </si>
  <si>
    <t>ELOY GABRIEL GOMEZ REYES</t>
  </si>
  <si>
    <t>coordinaciongestionhumana@meridian.com.co</t>
  </si>
  <si>
    <t xml:space="preserve">Coordinador de Gestión Humana </t>
  </si>
  <si>
    <t>Funciones_Coordinador_GH</t>
  </si>
  <si>
    <t xml:space="preserve">Planear, ejecutar y dirigir el área de gestión humana de MERIDIAN CONSULTING LTDA., con el fin de asegurar el funcionamiento óptimo de cada uno de los procesos relacionados con el área conforme a las políticas y procedimientos establecidos por la Compañía. </t>
  </si>
  <si>
    <t>LUIS MIGUEL GUEVARA MARLES</t>
  </si>
  <si>
    <t>hseq@meridian.com.co</t>
  </si>
  <si>
    <t xml:space="preserve">Coordinador Hseq </t>
  </si>
  <si>
    <t>Funciones_Coordinador_HSEQ</t>
  </si>
  <si>
    <t>Diseñar, establecer, implementar, mantener y mejorar el Sistema de Gestión Integral HSEQ dentro de la Empresa</t>
  </si>
  <si>
    <t>NORA GISELL MORENO MORENO</t>
  </si>
  <si>
    <t>nmoreno@meridian.com.co</t>
  </si>
  <si>
    <t>Gerente Administrativa Y Financiera</t>
  </si>
  <si>
    <t>Funciones_Gerente_Administratvo</t>
  </si>
  <si>
    <t>Planear, ejecutar y dirigir la gestión administrativa y financiera de MERIDIAN CONSULTING LTDA., con el fin de asegurar el funcionamiento óptimo de todas las áreas conforme a las políticas y objetivos de la Compañía.</t>
  </si>
  <si>
    <t>RUTH MUÑOZ CASTILLO</t>
  </si>
  <si>
    <t>rmunoz@meridian.com.co</t>
  </si>
  <si>
    <t>Servicios Generales</t>
  </si>
  <si>
    <t>Funciones_Servicios_Generales</t>
  </si>
  <si>
    <t>Realizar las labores de aseo, limpieza y cafetería, para brindar comodidad a los funcionarios y visitantes en los sitios de trabajo del área a la cual está prestando los servicios, conforme a las normas y procedimientos vigentes de la compañía.</t>
  </si>
  <si>
    <t>SANDRA MILENA FLOREZ PRADO</t>
  </si>
  <si>
    <t xml:space="preserve">asistenteadministrativo2@meridian.com.co </t>
  </si>
  <si>
    <t>Funciones_Asistente_Adm</t>
  </si>
  <si>
    <t>Apoyar la labor Administrativa de MERIDIAN CONSULTING LTDA por medio de actividades asistenciales aplicando las normas y procedimientos establecidos, garantizando así la prestación efectiva del servicio.</t>
  </si>
  <si>
    <t>SONIA STEPHANIA FONSECA LOPEZ</t>
  </si>
  <si>
    <t>asistentegestionhumana2@meridian.com.co</t>
  </si>
  <si>
    <t>Asistente de Nomina y gestion humana</t>
  </si>
  <si>
    <t>WILLIAM AUGUSTO FRANCO CASTELLANOS</t>
  </si>
  <si>
    <t>wfranco@meridian.com.co</t>
  </si>
  <si>
    <t>Junta de Socios</t>
  </si>
  <si>
    <t>Funciones_Gerente_General</t>
  </si>
  <si>
    <t>1). Representar a la sociedad ante los socios, terceros y toda clase de autoridades del orden administrativo o jurisdiccional, en los alcances definidos por la junta de socios, cumplir y hacer cumplir las determinaciones, órdenes o instrucciones de la Junta de Socios.
2). Planificar, organizar, controlar, desarrollar y liderar la  compañía, con el fin de que la organización tenga un eficiente desempeño y se cumpla con los objetivos y metas estratégicas.</t>
  </si>
  <si>
    <t>ZANDRA PATRICIA MAYORGA GOMEZ</t>
  </si>
  <si>
    <t>coordinadoracontable@meridian.com.co</t>
  </si>
  <si>
    <t>Coordinador Contable y Financiero</t>
  </si>
  <si>
    <t>Funciones_Coordinador_Contable</t>
  </si>
  <si>
    <t xml:space="preserve">Analizar, ajustar e interpretar la información financiera de la empresa, sus Consorcios y Uniones Temporales con el plan de cuentas,  las políticas y normas legalmente establecidas conforme a la aplicación contable en Colombia y Las Normas Internacionales de Información Financiera NIIF. </t>
  </si>
  <si>
    <t>YESSICA ANDREA ABELLA RODRIGUEZ</t>
  </si>
  <si>
    <t>Asistente Contable</t>
  </si>
  <si>
    <t>Funciones_Asistente_Contable</t>
  </si>
  <si>
    <t>Recopilar informacion contable y financiera de la empresa, sus Consorcios y uniones temporales con el plan de cuentas,  las políticas y normas legalmente establecidas conforme a la aplicación contable en Colombia y Las Normas Internacionales de Información Financiera NIIF y en apoyo al  Coordinador(a) contable y financiero(a) analizarla, ajustarla e interpretarla, a fin de garantizar la presentacion de  estados financieros confiables y oportunos.</t>
  </si>
  <si>
    <t>KAREN JULIETH CARRANZA RODRIGUEZ</t>
  </si>
  <si>
    <t>Analista Contable</t>
  </si>
  <si>
    <t>Funciones_Analista_Contable</t>
  </si>
  <si>
    <t xml:space="preserve">ALEXANDRA ISABEL MESA CARDENAS </t>
  </si>
  <si>
    <t>alexandramesa85@gmail.com</t>
  </si>
  <si>
    <t>Profesional Especialista</t>
  </si>
  <si>
    <t>Gestión de Proyectos</t>
  </si>
  <si>
    <t xml:space="preserve">Coordinador de proyectos </t>
  </si>
  <si>
    <t xml:space="preserve">Servicio para la caracterización y Gestión del Yacimiento, y/o la construcción de escenarios de subsuelo y/o la planeación lntegrada del desarrollo, y/o la Integración y análisis de oportunidades de desarrollo y el Análisis de resultados y acciones de mejora al plan integrado de desarrollo en las disciplinas de geología, petrofísica, Ingenieria de yacimientos, data analytics y modelador PID para la gerencia de desarrollo socios y offshore GAC. </t>
  </si>
  <si>
    <t xml:space="preserve">Gestión de Proyectos </t>
  </si>
  <si>
    <t>PROYECTO PETROSERVICIOS</t>
  </si>
  <si>
    <t>CARLOS ALEJANDRO FORERO PEÑA</t>
  </si>
  <si>
    <t>forero_c05@hotmail.com</t>
  </si>
  <si>
    <t>Profesional Senior</t>
  </si>
  <si>
    <t>DIANA PAOLA SOLANO SUA</t>
  </si>
  <si>
    <t>dianapsolano.2017@gmail.com</t>
  </si>
  <si>
    <t>EDNA MILED NIÑO OROZCO</t>
  </si>
  <si>
    <t>miledn7@yahoo.com.mx</t>
  </si>
  <si>
    <t>LAURA MARIA HERNANDEZ RIVEROS</t>
  </si>
  <si>
    <t>lhernandez@utexas.edu</t>
  </si>
  <si>
    <t>ZENAIDA DEL VALLE MARCANO DE VILLARROEL</t>
  </si>
  <si>
    <t>Cédula de extranjeria</t>
  </si>
  <si>
    <t>marcanozdelvalle@gmail.com</t>
  </si>
  <si>
    <t>Servicio para la caracterización y gestión del Yacimiento de la Gerencia de Desarrollo Socios y Offshore GAC en la disciplina petrofísica desarrollo.</t>
  </si>
  <si>
    <t>CINDY NATALIA ISAZA TORO</t>
  </si>
  <si>
    <t>natiisaza@hotmail.com</t>
  </si>
  <si>
    <t>Servicio para la caracterización y gestión del yacimiento, y/o la construcción de escenarios de subsuelo y/o la planeación integrada del desarrollo, y/o la integración y análisis de oportunidades de desarrollo y el análisis de resultados y acciones de mejora al plan integrado de desarrollo de activos GOR y GPA</t>
  </si>
  <si>
    <t>EMELI YOHANA YACELGA CHITAN</t>
  </si>
  <si>
    <t>Emeli.yacelga@gmail.com</t>
  </si>
  <si>
    <t xml:space="preserve">Profesional Junior </t>
  </si>
  <si>
    <t>ESPERANZA DE JESUS COTES LEON</t>
  </si>
  <si>
    <t>esperanza.cotes@gmail.com</t>
  </si>
  <si>
    <t>LEIDY LAURA ALVAREZ BERRIO</t>
  </si>
  <si>
    <t>alvarezlaura08@gmail.com</t>
  </si>
  <si>
    <t>OVEIMAR SANTAMARIA TORRES</t>
  </si>
  <si>
    <t>oveimar.santamaria@gmail.com</t>
  </si>
  <si>
    <t>RUBEN HERNAN CASTRO GARCIA</t>
  </si>
  <si>
    <t>rubencastrogarcia83@gmail.com</t>
  </si>
  <si>
    <t>SEBASTIAN LLANOS GALLO</t>
  </si>
  <si>
    <t>sllanosg@unal.edu.co</t>
  </si>
  <si>
    <t>WILLIAM CABRERA CASTRO</t>
  </si>
  <si>
    <t>williamcabreracastro@gmail.com</t>
  </si>
  <si>
    <t>CARLOS JOSE URZOLA EBRATT</t>
  </si>
  <si>
    <t>carlosjose.ue@gmail.com</t>
  </si>
  <si>
    <t xml:space="preserve">Profesional Basico </t>
  </si>
  <si>
    <t>DIEGO FERNANDO CASTILLO BAYONA</t>
  </si>
  <si>
    <t>diegocastillok8@gmail.com</t>
  </si>
  <si>
    <t>Servicio para la caracterización y gestión del yacimiento, y/o la construcción de escenarios de subsuelo y/o la planeación integrada del desarrollo, y/o la integración y análisis de oportunidades de desarrollo y el análisis de resultados y acciones de mejora al plan integrado de desarrollo (PID) para la gerencia de piedemonte (GDM)</t>
  </si>
  <si>
    <t>GABRIEL EDUARDO VELEZ BARRERA</t>
  </si>
  <si>
    <t>gabrielvelezb6@gmail.com</t>
  </si>
  <si>
    <t xml:space="preserve">Profesional Senior </t>
  </si>
  <si>
    <t>GLADYS EVANGELINA TABARES PEREZ</t>
  </si>
  <si>
    <t>tabaresgt@hotmail.com</t>
  </si>
  <si>
    <t>JUAN MATEO CORDOBA WAGNER</t>
  </si>
  <si>
    <t>jmcordobaw@gmail.com</t>
  </si>
  <si>
    <t>LEIDY JOHANNA BELLO AREVALO</t>
  </si>
  <si>
    <t>johanna.bello@gmail.com</t>
  </si>
  <si>
    <t>CARLOS RAFAEL OLMOS CARVAL</t>
  </si>
  <si>
    <t>carlosolmosc@outlook.com</t>
  </si>
  <si>
    <t>Servicio para gestión del yacimiento, y/o la construcción de escenarios de subsuelo y/o la planeación integrada del desarrollo, y/o el análisis de oportunidades de desarrollo en el corto y largo plazo, y/o análisis de resultados y acciones de mejora a los planes integrados de desarrollo y/o a los proyectos nuevos o en maduración y ejecución que soporta la gerencia de desarrollo Orinoquia en los campos de la VRO</t>
  </si>
  <si>
    <t xml:space="preserve">CHRISTIAN MAURICIO PARDO CARRANZA  </t>
  </si>
  <si>
    <t>christianmauriciopardo@gmail.com</t>
  </si>
  <si>
    <t>DAVID ALEJANDRO GARCIA CORONADO</t>
  </si>
  <si>
    <t>Alejandro_7269@hotmail.com</t>
  </si>
  <si>
    <t>DIANA MARCELA CACERES SALINAS</t>
  </si>
  <si>
    <t>caceres.diana@gmail.com</t>
  </si>
  <si>
    <t>LIZETH DAYANA BAUTISTA RICO</t>
  </si>
  <si>
    <t>lbautistarico@gmail.com</t>
  </si>
  <si>
    <t>MARIA ALEJANDRA MOJICA ARCINIEGAS</t>
  </si>
  <si>
    <t>alejandra_mojica123@hotmail.com</t>
  </si>
  <si>
    <t>9183859-4</t>
  </si>
  <si>
    <t>OLMER ANDRES MORALES MORA</t>
  </si>
  <si>
    <t>andresmoralesmora95@gmail.com</t>
  </si>
  <si>
    <t>IVAN DARIO MOZO MORENO</t>
  </si>
  <si>
    <t>mozoivan@gmail.com</t>
  </si>
  <si>
    <t>MONICA DEL PILAR MARTINEZ VERA</t>
  </si>
  <si>
    <t>monamartinez28@hotmail.com</t>
  </si>
  <si>
    <t>JOSE GABRIEL NASSAR DIAZ</t>
  </si>
  <si>
    <t>josse.nazzar@gmail.com</t>
  </si>
  <si>
    <t>FRANCISCO JOSE AMADO IRIARTE</t>
  </si>
  <si>
    <t>franciscoamado95@gmail.com</t>
  </si>
  <si>
    <t>JAIME JOSÉ MARTÍNEZ VERTEL</t>
  </si>
  <si>
    <t>jaimemartinez12345@gmail.com</t>
  </si>
  <si>
    <t>DIANA MARIA HERNANDEZ CASTRO</t>
  </si>
  <si>
    <t>d.mhernandezcastro@hotmail.com</t>
  </si>
  <si>
    <t>Servicio para la caracterización y gestión del yacimiento, y/o la construcción de escenarios de subsuelo y/o la planeación integrada del desarrollo, y/o la integración y análisis de oportunidades de desarrollo y el análisis de resultados y acciones de mejora al plan integrado de desarrollo en la disciplina de ingenieria de yacimientos en la gerencia de desarrollo socios y offshore GAC para vigencia 2024</t>
  </si>
  <si>
    <t>BLANCA OFFIR HURTADO LOPERA</t>
  </si>
  <si>
    <t>hurtadoblanca@yahoo.com</t>
  </si>
  <si>
    <t>SERVICIO PARA LA ELABORACIÓN DE ENTREGABLES PETROTÉCNICOS PARA LAS INICIATIVAS A EJECUTAR POR LA GERENCIA CENTRO TÉCNICO DE DESARROLLO (GET) EN LA VIGENCIA 2024</t>
  </si>
  <si>
    <t>CAMILO ANDRES SANTANA OTALORA</t>
  </si>
  <si>
    <t>camilo.santana@hotmail.com</t>
  </si>
  <si>
    <t>CAROLINA LEON VANEGAS</t>
  </si>
  <si>
    <t>karitoleon@gmail.com; carleonvan@unal.edu.co</t>
  </si>
  <si>
    <t>DANIELA MOLINA LANDINEZ</t>
  </si>
  <si>
    <t>danimolina19@gmail.com</t>
  </si>
  <si>
    <t xml:space="preserve">Profesional Especialista </t>
  </si>
  <si>
    <t>DIEGO ARMANDO VANEGAS ARAQUE</t>
  </si>
  <si>
    <t>diegov14@hotmail.com</t>
  </si>
  <si>
    <t>EDUAR ERNESTO PEREZ ROJAS</t>
  </si>
  <si>
    <t>ingeduar10@hotmail.com</t>
  </si>
  <si>
    <t>Profesional Junior</t>
  </si>
  <si>
    <t>FRANKLIN ALEJANDRO BOTERO RIVERA</t>
  </si>
  <si>
    <t xml:space="preserve">alejandro.botero1120@gmail.com </t>
  </si>
  <si>
    <t>GUSTAVO ADOLFO MORENO BELTRAN</t>
  </si>
  <si>
    <t>gustavo.moreno.beltran@gmail.com</t>
  </si>
  <si>
    <t>INA YADITH SERRANO LASTRE</t>
  </si>
  <si>
    <t>inaserrano@gmail.com</t>
  </si>
  <si>
    <t>IVAN DARIO MONCAYO RIASCOS</t>
  </si>
  <si>
    <t>idmoncay@gmail.com</t>
  </si>
  <si>
    <t>JESUS DAVID ARENAS NAVARRO</t>
  </si>
  <si>
    <t>ajbdavidgeo@gmail.com</t>
  </si>
  <si>
    <t xml:space="preserve">Profesional junior </t>
  </si>
  <si>
    <t>JOSE MANUEL GARCIA OROZCO</t>
  </si>
  <si>
    <t>garciaorozcojosemanuel@gmail.com</t>
  </si>
  <si>
    <t>Profesional Básico</t>
  </si>
  <si>
    <t>JUAN DAVID ARISTIZABAL MARULANDA</t>
  </si>
  <si>
    <t>juancheing@hotmail.com</t>
  </si>
  <si>
    <t>JUAN SEBASTIAN AVILA PARRA</t>
  </si>
  <si>
    <t>juansebastian964@gmail.com</t>
  </si>
  <si>
    <t>JULIO CESAR FIGUEROA VEGA</t>
  </si>
  <si>
    <t xml:space="preserve">Juliofigue@hotmail.com </t>
  </si>
  <si>
    <t xml:space="preserve">Profesional Senior  </t>
  </si>
  <si>
    <t>LEONARDO SANTOS MATEUS BAEZ</t>
  </si>
  <si>
    <t>lsmateusb@gmail.com</t>
  </si>
  <si>
    <t>LUCIA MARIA ACERO LIZCANO</t>
  </si>
  <si>
    <t>luciaacero@gmail.com</t>
  </si>
  <si>
    <t>MARIA ALEJANDRA CABRERA GARCIA</t>
  </si>
  <si>
    <t>alejacabrera2211@gmail.com</t>
  </si>
  <si>
    <t>MARIA ALEJANDRA JOYA RINCON</t>
  </si>
  <si>
    <t>Alejandra.joya@gmail.com</t>
  </si>
  <si>
    <t xml:space="preserve">Profesional Básico  </t>
  </si>
  <si>
    <t>MARIO AUGUSTO MORENO CASTELLANOS</t>
  </si>
  <si>
    <t>geomario@hotmail.com</t>
  </si>
  <si>
    <t>NICOLAS AVENDAÑO VASQUEZ</t>
  </si>
  <si>
    <t>nav2052@hotmail.com</t>
  </si>
  <si>
    <t>Profesional  Junior</t>
  </si>
  <si>
    <t>OSCAR FABIAN SUAREZ SUAREZ</t>
  </si>
  <si>
    <t>oscarsuarez93@hotmail.com</t>
  </si>
  <si>
    <t>RUBEN DARIO ORTIZ MURCIA</t>
  </si>
  <si>
    <t>ruben_ortiz07@hotmail.com</t>
  </si>
  <si>
    <t>SERGIO FERNANDO POVEDA SALAZAR</t>
  </si>
  <si>
    <t>sf.poveda@uniandes.edu.co</t>
  </si>
  <si>
    <t>GIOVANNI MARTINEZ LEONES</t>
  </si>
  <si>
    <t>gio.martinez.leones@hotmail.com</t>
  </si>
  <si>
    <t>ADRIANA PATRICIA DUEÑES GARCÉS</t>
  </si>
  <si>
    <t>adriana_geologia@hotmail.com</t>
  </si>
  <si>
    <t>JOHN JAIRO MORA SOTO</t>
  </si>
  <si>
    <t>jjmoras1@gmail.com</t>
  </si>
  <si>
    <t>YELTSIN PARMENIO VEGA NIÑO</t>
  </si>
  <si>
    <t>ypvegan@unal.edu.co</t>
  </si>
  <si>
    <t xml:space="preserve">Soporte Operativo T5A </t>
  </si>
  <si>
    <t>SOPORTE_OPERATIVO_TIPO_5A</t>
  </si>
  <si>
    <t>SERVICIOS DE SUPERVISION INTEGRAL DE OPERACIONES DE POZOS PARA ECOPETROL S.A. Y/O SU GRUPO EMPRESARIAL</t>
  </si>
  <si>
    <t>COMPANY ANTIGUO</t>
  </si>
  <si>
    <t>LUIS ANDRES MORENO MEDINA</t>
  </si>
  <si>
    <t>ing.andmoreno@gmail.com</t>
  </si>
  <si>
    <t>Supervisor de Operaciones en Pozos T4</t>
  </si>
  <si>
    <t>SUPERVISOR_OPERACIONES_TIPO_4</t>
  </si>
  <si>
    <t xml:space="preserve">Clara Yineth Velasquez Diaz </t>
  </si>
  <si>
    <t>clara.velasquez@ecopetrol.com.co</t>
  </si>
  <si>
    <t xml:space="preserve">Ingrid Yeset Sanchez Perez </t>
  </si>
  <si>
    <t>ingrid.sanchez@ecopetrol.com.co</t>
  </si>
  <si>
    <t>Soporte Operativo T4A</t>
  </si>
  <si>
    <t>SOPORTE_OPERATIVO_TIPO_4A</t>
  </si>
  <si>
    <t>OSCAR EDUARDO IBAGON MORERA</t>
  </si>
  <si>
    <t>oscar_ibagon@hotmail.com</t>
  </si>
  <si>
    <t>Supervisor de Operaciones en Pozos T2</t>
  </si>
  <si>
    <t>SUPERVISOR_OPERACIONES_TIPO_2</t>
  </si>
  <si>
    <t>CHRISTIAN JOSE PUPIALES FERNANDEZ</t>
  </si>
  <si>
    <t>cristianpupiales@hotmail.com</t>
  </si>
  <si>
    <t>Supervisor de Operaciones en Pozos T3</t>
  </si>
  <si>
    <t>SUPERVISOR_OPERACIONES_TIPO_3</t>
  </si>
  <si>
    <t xml:space="preserve">OMAR GAONA CABRERA </t>
  </si>
  <si>
    <t>omargaonacabrera2021@gmail.com</t>
  </si>
  <si>
    <t>Supervisor de Operaciones en Pozos T1</t>
  </si>
  <si>
    <t>SUPERVISOR_OPERACIONES_TIPO_1</t>
  </si>
  <si>
    <t>FRANCISCO SANTOS SANTACRUZ</t>
  </si>
  <si>
    <t>fco_santos_4@yahoo.com</t>
  </si>
  <si>
    <t>Fernando Jose Aparicio Becerra</t>
  </si>
  <si>
    <t>fernando.aparicio@ecopetrol.com.co</t>
  </si>
  <si>
    <t>OSCAR MAURICIO PRIETO VARGAS</t>
  </si>
  <si>
    <t>prieto556g@gmail.com</t>
  </si>
  <si>
    <t>JUAN CAMILO CORTÉS ROJAS</t>
  </si>
  <si>
    <t>juancamilocortesr@gmail.com</t>
  </si>
  <si>
    <t xml:space="preserve">Luis Felipe Uribe Parra </t>
  </si>
  <si>
    <t>Luis.Uribe@ecopetrol.com.co</t>
  </si>
  <si>
    <t>HECTOR ANDRES NOGUERA BOLAÑOS</t>
  </si>
  <si>
    <t>andresnoguera111@hotmail.com</t>
  </si>
  <si>
    <t>JORGE LUIS SEGURA SANABRIA</t>
  </si>
  <si>
    <t>jlsegura01@gmail.com</t>
  </si>
  <si>
    <t>FERNANDO LOPEZ PRADA</t>
  </si>
  <si>
    <t>ferlopra@gmail.com</t>
  </si>
  <si>
    <t>Claudia Marina Ortiz Avendaño</t>
  </si>
  <si>
    <t>claudia.ortiz@ecopetrol.com.co</t>
  </si>
  <si>
    <t>Soporte Operativo T3B</t>
  </si>
  <si>
    <t>SOPORTE_OPERATIVO_TIPO_3B</t>
  </si>
  <si>
    <t>Nestor Alonso Jaimes Portilla</t>
  </si>
  <si>
    <t>nestor.jaimes@ecopetrol.com.co</t>
  </si>
  <si>
    <t>Oscar Mauricio Gomez Camacho</t>
  </si>
  <si>
    <t>oscarma.gomez@ecopetrol.com.co</t>
  </si>
  <si>
    <t xml:space="preserve">LAURA DANIELA SEGURA MORERA </t>
  </si>
  <si>
    <t>profesionalhseq@meridian.com.co</t>
  </si>
  <si>
    <t>Profesional HSEQ</t>
  </si>
  <si>
    <t xml:space="preserve"> Implementar, mantener y promover la mejora continua de el Sistema de Gestión Integral HSEQ dentro de la Empresa</t>
  </si>
  <si>
    <t>COMPANY MAN</t>
  </si>
  <si>
    <t>ANGY YOLIMA SALCEDO AMADO</t>
  </si>
  <si>
    <t>angysalcedo0810@hotmail.com</t>
  </si>
  <si>
    <t>PROF. DE PROYECTO EN ENTRENAMIENTO</t>
  </si>
  <si>
    <t>VIANI YRELI RUIZ GALINDO</t>
  </si>
  <si>
    <t>vianiruiz@gmail.com</t>
  </si>
  <si>
    <t>SOPORTE OPERATIVO 4A</t>
  </si>
  <si>
    <t>ERIKA ANDREA LOPEZ CORDOBA</t>
  </si>
  <si>
    <t>erika.lopezcordoba@gmail.com</t>
  </si>
  <si>
    <t>MARBERT SHARIN MARTINEZ ARANDA</t>
  </si>
  <si>
    <t>sharin0207@hotmail.com</t>
  </si>
  <si>
    <t>MYRIAM KARINA PAREDES FORERO</t>
  </si>
  <si>
    <t xml:space="preserve"> contador_mkpf@hotmail.es</t>
  </si>
  <si>
    <t>LUIS ALEJANDRO HELLAL PORRAS</t>
  </si>
  <si>
    <t xml:space="preserve">alejandrohellal@gmail.com </t>
  </si>
  <si>
    <t>SOPORTE OPERATIVO 5A</t>
  </si>
  <si>
    <t>JULIO CESAR ROMERO AREVALO</t>
  </si>
  <si>
    <t>julioromeroar@hotmail.com</t>
  </si>
  <si>
    <t>EDGAR ANDRES MURILLO ANDRADE</t>
  </si>
  <si>
    <t>ing_andresmurillo2@hotmail.com</t>
  </si>
  <si>
    <t>CAMILO ANDRES TORRES RESTREPO</t>
  </si>
  <si>
    <t>calomi0212@hotmail.com</t>
  </si>
  <si>
    <t>SERGIO LEONARDO VERGARA SUAREZ</t>
  </si>
  <si>
    <t>selves24@hotmail.com</t>
  </si>
  <si>
    <t>ESTEFANY LIZETH VELANDIA JAIMES</t>
  </si>
  <si>
    <t>gestefanyvelandia@gmail.com</t>
  </si>
  <si>
    <t>Servicio para la caracterización y gestión del yacimiento, y/ola construcción de escenarios de subsuelo y/o la planeación integrada del desarrollo, y/o la integración y análisis de oportunidades de desarrollo y el análisis de resultados y acciones de mejora al plan integrado de desarrollo pertenecientes a la gerencia central GCE</t>
  </si>
  <si>
    <t>GUSTAVO ANDRES BAUTISTA VELANDIA</t>
  </si>
  <si>
    <t>andresbautistavelandia@gmail.com</t>
  </si>
  <si>
    <t>JEAN PABLO CEDEÑO ORFILA</t>
  </si>
  <si>
    <t>jeanpablocorfila@gmail.com</t>
  </si>
  <si>
    <t>JHON ABELARDO CUESTA ASPRILLA</t>
  </si>
  <si>
    <t>jhcuestaa@gmail.com</t>
  </si>
  <si>
    <t>JOSE ANDRES ANAYA MANCIPE</t>
  </si>
  <si>
    <t xml:space="preserve">anayamancipe_04@hotmail.com </t>
  </si>
  <si>
    <t>JOSE CARLOS GARCIA RUEDA</t>
  </si>
  <si>
    <t>josecarlosgarcia92@gmail.com</t>
  </si>
  <si>
    <t>KELLY LORENA DIEZ HERNANDEZ</t>
  </si>
  <si>
    <t>kldiezhdz@gmail.com</t>
  </si>
  <si>
    <t>MARIA ANGELICA PRADA FONSECA</t>
  </si>
  <si>
    <t>prada.angelica@hotmail.com</t>
  </si>
  <si>
    <t>MARIA HIMELDA MURILLO LOPEZ</t>
  </si>
  <si>
    <t>pauegip_12@hotmail.com</t>
  </si>
  <si>
    <t>MARIANN LISSETTE MAHECHA LAVERDE</t>
  </si>
  <si>
    <t>malimagen@hotmail.com</t>
  </si>
  <si>
    <t>EMMANUEL ROBLES ALBARRACIN</t>
  </si>
  <si>
    <t>emmanuel_robles17@hotmail.com</t>
  </si>
  <si>
    <t>YUBER RODRIGUEZ ARTURO</t>
  </si>
  <si>
    <t>yuberrodriguezarturo@gmail.com</t>
  </si>
  <si>
    <t>LAURA YANETH OSMA MARIN</t>
  </si>
  <si>
    <t>laura.osma@hotmail.com</t>
  </si>
  <si>
    <t>9183859-3</t>
  </si>
  <si>
    <t>HERNÁN ALBEYRO FULA BOHÓRQUEZ</t>
  </si>
  <si>
    <t>hernanfula@gmail.com</t>
  </si>
  <si>
    <t>CLAUDIA CAROPRESE GARCIA</t>
  </si>
  <si>
    <t>caropresec@gmail.com</t>
  </si>
  <si>
    <t>Servicio para la caracterización y gestión del yacimiento, y/o la construcción de escenarios de subsuelo y/o la planeación integrada del desarrollo, y/o la integración y análisis de oportunidades de desarrollo y el análisis de resultados y acciones de mejora al plan integrado de desarrollo (PID) para la gerencia de piedemonte (GDM) en el campo de activos con socios: Capacho-Andina .</t>
  </si>
  <si>
    <t>CRISTIAN PEÑAFORT GAVIRIA</t>
  </si>
  <si>
    <t>cpenafortg@hotmail.com</t>
  </si>
  <si>
    <t>Profesional  Especialista</t>
  </si>
  <si>
    <t>CHRISTIAN CAMILO RIVERA SANCHEZ</t>
  </si>
  <si>
    <t>chris911205@gmail.com</t>
  </si>
  <si>
    <t>SERVICIO PARA LA CARACTERIZACIÓN Y GESTIÓN DEL YACIMIENTO, Y/O LA CONSTRUCCIÓN DE ESCENARIOS DE SUBSUELO Y/O LA PLANEACIÓN INTEGRADA DEL DESARROLLO, Y/O LA INTEGRACIÓN Y ANÁLISIS DE OPORTUNIDADES DE DESARROLLO Y EL ANÁLISIS DE RESULTADOS Y ACCIONES DE MEJORA AL PLAN INTEGRADO DE DESARROLLO PARA LA GERENCIA DE DESARROLLO SOCIOS Y OFFSHORE GAC</t>
  </si>
  <si>
    <t>GERMAN DARIO OREJARENA ESCOBAR</t>
  </si>
  <si>
    <t>german18224@yahoo.com</t>
  </si>
  <si>
    <t xml:space="preserve">LEIDI MARCELA QUINTERO GIRALDO </t>
  </si>
  <si>
    <t>lquinterogiraldo@gmail.com</t>
  </si>
  <si>
    <t>RICARDO GAVIRIA GARCIA</t>
  </si>
  <si>
    <t>ricardo.gaviria@outlook.com</t>
  </si>
  <si>
    <t>JORGE LUIS CORONADO NAVARRO</t>
  </si>
  <si>
    <t>jorge.coronadobv03@gmail.com</t>
  </si>
  <si>
    <t>SERVICIO ENTREGABLES PARA ACCIONES DE MEJORA AL PLAN INTEGRADO DE DESARROLLO EN GEOLOGÍA PARA LA CARACTERIZACIÓN ANÁLISIS DE RESULTADOS DEL YACIMIENTO DE ACTIVOS GOR: CAMPOS RUBIALES Y CAÑO SUR ESTE Y GPA: CAMPOS DINA T-PALOGRANDE INTEGRADO Y RÍO CEIBAS</t>
  </si>
  <si>
    <t>MAX BRADLEY GOMEZ GUALDRON</t>
  </si>
  <si>
    <t>maxmbg@gmail.com</t>
  </si>
  <si>
    <t>SONIA ALEJANDRAQUINTERO ANTOLÍNEZ</t>
  </si>
  <si>
    <t>soniaaquinteroa@gmail.com</t>
  </si>
  <si>
    <t>ALEJANDRO DUVAN LOPEZ ROJAS</t>
  </si>
  <si>
    <t>alejandro_.lopez@hotmail.com</t>
  </si>
  <si>
    <t>SERVICIO PARA MONITOREO DE YACIMIENTOS, CONSTRUCCIÓN DE ESCENARIOS DE SUBSUELO Y SOPORTE A LOS PLANES INTEGRADOS DE DESARROLLO, MADURACIÓN DE OPORTUNIDADES DE DESARROLLO EN EL CORTO Y LARGO PLAZO, A LOS PROYECTOS EN MADURACIÓN Y EJECUCIÓN QUE SOPORTA LA GERENCIA DE DESARROLLO ORINOQUIA EN LOS CAMPOS DE LA VRO – DURANTE EL 2do SEMESTRE DE 2024</t>
  </si>
  <si>
    <t>ANA MARÍA CASTELLANOS BARRETO</t>
  </si>
  <si>
    <t>amariacast@yahoo.com</t>
  </si>
  <si>
    <t>DIEGO FERNANDO GALEANO BARRERA</t>
  </si>
  <si>
    <t>diego581@yahoo.com</t>
  </si>
  <si>
    <t>DIEGO FERNANDO PINTO HERNÁNDEZ</t>
  </si>
  <si>
    <t>diegopintoh.uis@gmail.com</t>
  </si>
  <si>
    <t>EDWIN FERNANDO HERNANDEZ LADINO</t>
  </si>
  <si>
    <t>edwin.hernandez.l@outlook.com</t>
  </si>
  <si>
    <t>Profesional Senior para la ejecución de actividades de la ODS No. 9770807 del contrato Matriz No. 3037132</t>
  </si>
  <si>
    <t>GEISSON RENÉ ZAFRA URREA</t>
  </si>
  <si>
    <t>jason920619@hotmail.com</t>
  </si>
  <si>
    <t xml:space="preserve">GLORIA FERNANDA VIDAL GONZALEZ </t>
  </si>
  <si>
    <t>gloriavidal25@hotmail.com</t>
  </si>
  <si>
    <t>JESUS IVAN PACHECO ROMERO</t>
  </si>
  <si>
    <t>jesus.pacheco.rom@gmail.com</t>
  </si>
  <si>
    <t>JHON HARVEY CARREÑO HERNANDEZ</t>
  </si>
  <si>
    <t>jhocar_1990@hotmail.com</t>
  </si>
  <si>
    <t>JOHN FABIAN ROJAS ADARRAGA</t>
  </si>
  <si>
    <t>Jonfabi@hotmail.com</t>
  </si>
  <si>
    <t>JULIAN ANDRES HERNANDEZ PINTO</t>
  </si>
  <si>
    <t>julianh.9128@gmail.com</t>
  </si>
  <si>
    <t>MILTON JULIAN GUALTEROS QUIROGA</t>
  </si>
  <si>
    <t>juliangualteros31@hotmail.com</t>
  </si>
  <si>
    <t>CESAR ELIECER RODRIGUEZ CAMELO</t>
  </si>
  <si>
    <t>cesarstam84@hotmail.com</t>
  </si>
  <si>
    <t>BRIGGITE SUSEC CAMACHO JEREZ</t>
  </si>
  <si>
    <t>briggite.camachoj@gmail.com</t>
  </si>
  <si>
    <t>CESAR EDUARDO GARNICA GOMEZ</t>
  </si>
  <si>
    <t>cesar.garnica94@gmail.com</t>
  </si>
  <si>
    <t>PAOLA ANDREA GOMEZ CABRERA</t>
  </si>
  <si>
    <t>paolago40@gmail.com</t>
  </si>
  <si>
    <t>FRANCISCO JAVIER VILLABONA TAMAYO</t>
  </si>
  <si>
    <t>francisco.villabona@outlook.com</t>
  </si>
  <si>
    <t xml:space="preserve"> Director de Proyecto Ecopetrol</t>
  </si>
  <si>
    <t>Funciones_Director_Proyectos</t>
  </si>
  <si>
    <t>Planificar, dirigir, ejecutar y controlar el desarrollo del proyecto involucrando a todas las areas de la compañía</t>
  </si>
  <si>
    <t>Gestion proyectos</t>
  </si>
  <si>
    <t xml:space="preserve">MARIA CAMILA CARDENAS URIZA </t>
  </si>
  <si>
    <t>mariaccu@hotmail.es</t>
  </si>
  <si>
    <t>Profesional de Proyectos</t>
  </si>
  <si>
    <t>Director de proyecto</t>
  </si>
  <si>
    <t>Funciones_Prof_Proye_mb</t>
  </si>
  <si>
    <t>Ejecutar junto con el Director del proyecto, el plan de trabajo de cada proyecto teniendo en cuenta los requerimientos contractuales, los aspectos logísticos, administrativos, financieros y técnicos.</t>
  </si>
  <si>
    <t>MARIA SHIRLEY ORDOÑEZ CUESTA</t>
  </si>
  <si>
    <t>maria.ocuesta89@gmail.com</t>
  </si>
  <si>
    <t>Profesional Administrativa y de Gestión Humana, Proyectos</t>
  </si>
  <si>
    <t>Profesional admon_GH_CM</t>
  </si>
  <si>
    <t>Apoyar las laboresde  Gestion Administrativa y de Gestión Humana de MERIDIAN CONSULTING LTDA por medio de actividades que aseguren su optimo funcionamiento y cumplimiento de objetivos de la compañia, aplicando las normas y procedimientos establecidos, garantizando así la prestación efectiva del servicio,</t>
  </si>
  <si>
    <t>MICHAEL STIVEN RUIZ CARO</t>
  </si>
  <si>
    <t>maikolruizc10@gmail.com</t>
  </si>
  <si>
    <t>Soporte Hseq II</t>
  </si>
  <si>
    <t>Funciones_Sop_hseqcm</t>
  </si>
  <si>
    <t>NIDIA CAROLINA GRANDAS CASTAÑEDA</t>
  </si>
  <si>
    <t>carograndas@outlook.com</t>
  </si>
  <si>
    <t xml:space="preserve"> Profesional de Proyectos </t>
  </si>
  <si>
    <t>Funciones_Prof_Proye_alta</t>
  </si>
  <si>
    <t>Coordinar junto con el Director del proyecto la ejecucion del mismo  teniendo en cuenta la parte logística, administrativa y técnica.</t>
  </si>
  <si>
    <t>SABRINA SALOME SANJUANELO SALAS</t>
  </si>
  <si>
    <t>sabrinasanjuane@hotmail.com</t>
  </si>
  <si>
    <t>ANGGIE ESTEFANIA ALONSO RUIZ</t>
  </si>
  <si>
    <t>angieestefaniaalonso@gmail.com</t>
  </si>
  <si>
    <t>Tecnico Asistente Administrativa</t>
  </si>
  <si>
    <t>Funciones_asis_admon_cm</t>
  </si>
  <si>
    <t>Apoyar la labor Administrativa de MERIDIAN CONSULTINGLTOA por medio de actividades asistenciales aplicando las normas y procedimientos establecidos, garantizando así la prestación efectiva del servicio</t>
  </si>
  <si>
    <t>Supervisor de Operaciones en Pozos Tipo 4</t>
  </si>
  <si>
    <t xml:space="preserve">YENNI PAOLA DONCEL ACHO </t>
  </si>
  <si>
    <t>yenni.doncel08@hotmail.com</t>
  </si>
  <si>
    <t>Soporte Operativo Tipo 3A</t>
  </si>
  <si>
    <t>SOPORTE_OPERATIVO_TIPO_3A</t>
  </si>
  <si>
    <t xml:space="preserve">URIEL HERNAN PINEDA GOMEZ </t>
  </si>
  <si>
    <t>upineg@hotmail.com</t>
  </si>
  <si>
    <t xml:space="preserve">YENNY LOLITA GARCIA BETANCOURT </t>
  </si>
  <si>
    <t>yen289@hotmail.com</t>
  </si>
  <si>
    <t xml:space="preserve">CAMILO ANDRES PATARROYO VARON </t>
  </si>
  <si>
    <t>patacam86@hotmail.com</t>
  </si>
  <si>
    <t>JORGE LEONARDO  MOYANO PEÑA</t>
  </si>
  <si>
    <t>jorgeleo-07@hotmail.com</t>
  </si>
  <si>
    <t>JOSE DANIEL GONZALEZ OJEDA</t>
  </si>
  <si>
    <t>PPT</t>
  </si>
  <si>
    <t>josegonzalezing1@gmail.com</t>
  </si>
  <si>
    <t>RAFAEL ENRIQUE URDANETA MORAN</t>
  </si>
  <si>
    <t>rafael.urdaneta1974@gmail.com</t>
  </si>
  <si>
    <t xml:space="preserve">JHON FREDDY PABON SANCHEZ </t>
  </si>
  <si>
    <t>jhonfreddypabon@hotmail.com</t>
  </si>
  <si>
    <t xml:space="preserve">AIDA FAISULY AVILA MORALES </t>
  </si>
  <si>
    <t xml:space="preserve">aidaavilam@gmail.com </t>
  </si>
  <si>
    <t>OLGA LUCIA RUEDA FIGUEREDO</t>
  </si>
  <si>
    <t>olga.ruedafigueredo@gmail.com</t>
  </si>
  <si>
    <t>SERAFIN VANEGAS CARDOSO</t>
  </si>
  <si>
    <t>ingenierovanegas@gmail.com</t>
  </si>
  <si>
    <t>Soporte Operativo Tipo 3B</t>
  </si>
  <si>
    <t>CAMILO ANDRES RIAÑO GALVIS</t>
  </si>
  <si>
    <t>andres.rianog84@gmail.com</t>
  </si>
  <si>
    <t xml:space="preserve">SERGIO VELEZ CARDONA </t>
  </si>
  <si>
    <t>servelez80@hotmail.com</t>
  </si>
  <si>
    <t>HARRIZON ALEXANDER RIVERA ARENAS</t>
  </si>
  <si>
    <t>harrizoning590@hotmail.com</t>
  </si>
  <si>
    <t>ANDREA PAOLA GUTIERREZ RAMIREZ</t>
  </si>
  <si>
    <t>andreitagutierrez0707@gmail.com</t>
  </si>
  <si>
    <t>Soporte Operativo Tipo 4A</t>
  </si>
  <si>
    <t>JUAN PABLO RAMIREZ DIAZ</t>
  </si>
  <si>
    <t>juanpianoo@gmail.com</t>
  </si>
  <si>
    <t xml:space="preserve">EDWARD FABIAN GALINDO VEGA </t>
  </si>
  <si>
    <t>edwgv14@hotmail.com</t>
  </si>
  <si>
    <t xml:space="preserve">JULIO EDGARDO VILLAMIL MONDRAGON  </t>
  </si>
  <si>
    <t>juedvimon@hotmail.com</t>
  </si>
  <si>
    <t>Supervisor de Operaciones en Pozos Tipo 2</t>
  </si>
  <si>
    <t>GUSTAVO LEON DELGADO ZAMBRANO</t>
  </si>
  <si>
    <t>gustdelz@hotmail.com</t>
  </si>
  <si>
    <t xml:space="preserve">HUGO FERNANDO RODRIGUEZ </t>
  </si>
  <si>
    <t>huferod2023@gmail.com</t>
  </si>
  <si>
    <t>Supervisor de Operaciones en Pozos Tipo 3</t>
  </si>
  <si>
    <t>ALEXANDER RONDON</t>
  </si>
  <si>
    <t>alexro29@yahoo.com</t>
  </si>
  <si>
    <t>JUAN GABRIEL ESTERLIN</t>
  </si>
  <si>
    <t xml:space="preserve">juangabrielesterlin@hotmail.com </t>
  </si>
  <si>
    <t>OSCAR FERNANDO OSPINA OSORIO</t>
  </si>
  <si>
    <t>o.ospinaosorio@hotmail.com</t>
  </si>
  <si>
    <t>AGUSTIN JOSE RONCALLO CERVANTES</t>
  </si>
  <si>
    <t>roncalloagustin@gmail.com</t>
  </si>
  <si>
    <t>ANGELA MARIA HERNANDEZ TAPIAS</t>
  </si>
  <si>
    <t xml:space="preserve">anmaheta@hotmail.com </t>
  </si>
  <si>
    <t>GUTEMBERG ALAINEGOMEZ RIVERA</t>
  </si>
  <si>
    <t>gutemberg.gomez@yahoo.com</t>
  </si>
  <si>
    <t>JUAN CARLOSSAAVEDRA BOHORQUEZ</t>
  </si>
  <si>
    <t>juancho811.js@gmail.com</t>
  </si>
  <si>
    <t>Soporte Operativo Tipo 5A</t>
  </si>
  <si>
    <t>ANGIE PAOLA LONDOÑO CADENA</t>
  </si>
  <si>
    <t>angie.londono.cadena@gmail.com</t>
  </si>
  <si>
    <t>Soporte Operativo Tipo 4B</t>
  </si>
  <si>
    <t>SOPORTE_OPERATIVO_TIPO_4B</t>
  </si>
  <si>
    <t>JAVIER EDUARDOROJAS PRIETO</t>
  </si>
  <si>
    <t>javierrojas1214@gmail.com</t>
  </si>
  <si>
    <t>JOSE LUISVELEZ CARDONA</t>
  </si>
  <si>
    <t>jose.velezcardona@hotmail.com</t>
  </si>
  <si>
    <t>GUSTAVO CESAR FIERRO GUALY</t>
  </si>
  <si>
    <t>gfierro968@gmail.com</t>
  </si>
  <si>
    <t xml:space="preserve">MISAEL GONZALEZ RUIZ </t>
  </si>
  <si>
    <t>misaelgonzalezruiz76@outlook.com</t>
  </si>
  <si>
    <t>MARIA DEL PILAR   RODRIGUEZ SANCHEZ</t>
  </si>
  <si>
    <t>pilar.rodriguez23@hotmail.com</t>
  </si>
  <si>
    <t>Profesional Soporte en Campo</t>
  </si>
  <si>
    <t>Prof_ Soporte Op_Campo</t>
  </si>
  <si>
    <t>Ejecutar junto con el Director del proyecto y/o el Coordinador de proyecto y/o el gerente general, el plan de trabajo de cada proyecto teniendo en cuenta los requerimientos contractuales, los aspectos logísticos, administrativos, técnicos,servicios de supervision y/o soporte integral de operaciones de pozos (Estandar API)</t>
  </si>
  <si>
    <t>JOSE CARLOS BAQUERO PEÑALOZA</t>
  </si>
  <si>
    <t>Josecarlosbaquero1994@gmail.com</t>
  </si>
  <si>
    <t>CESAR AUGUSTO REYES BALLESTEROS</t>
  </si>
  <si>
    <t>cesarym1@hotmail.com</t>
  </si>
  <si>
    <t>ESTEBAN GARCIA ROJAS</t>
  </si>
  <si>
    <t>estebangr1987@gmail.com</t>
  </si>
  <si>
    <t>BERARDO GIRALDO GAITAN</t>
  </si>
  <si>
    <t>lordberar@hotmail.com</t>
  </si>
  <si>
    <t>CARLOS SAUL CELIS ACERO</t>
  </si>
  <si>
    <t>celiscarloss@gmail.com</t>
  </si>
  <si>
    <t>FERNANDO JOSE APARICIO BECERRA</t>
  </si>
  <si>
    <t>fernandoa27@hotmail.com</t>
  </si>
  <si>
    <t>JOSE MAURICIO APONTE ABRIL</t>
  </si>
  <si>
    <t>mauricioaponte@hotmail.com</t>
  </si>
  <si>
    <t>PEDRO RAFAEL CADENA ORDOÑEZ</t>
  </si>
  <si>
    <t>pedro.cadena@outlook.com</t>
  </si>
  <si>
    <t>JUAN CARLOS DURAN ZAPATA</t>
  </si>
  <si>
    <t>juducaza@hotmail.com</t>
  </si>
  <si>
    <t>Supervisor de Operaciones en Pozos Tipo 1</t>
  </si>
  <si>
    <t>DANIEL SEGURA ESPINOSA</t>
  </si>
  <si>
    <t>Segura.7305@gmail.com</t>
  </si>
  <si>
    <t>WILBER CASTAÑEDA CASTAÑEDA</t>
  </si>
  <si>
    <t>wilbercastaeda@gmail.com</t>
  </si>
  <si>
    <t>Soporte Operativo Tipo 1</t>
  </si>
  <si>
    <t>CARLOS ALBERTO RAMIREZ ESCOBAR</t>
  </si>
  <si>
    <t>carami70mx@yahoo.com.mx</t>
  </si>
  <si>
    <t>Soporte Operativo Tipo 2</t>
  </si>
  <si>
    <t>SOPORTE_OPERATIVO_TIPO_2</t>
  </si>
  <si>
    <t>BRAYAN ALEJANDRO MONROY PINZON</t>
  </si>
  <si>
    <t>b.alejandro1345@hotmail.com</t>
  </si>
  <si>
    <t>CAMILO ANDRES IBAÑEZ ROZO</t>
  </si>
  <si>
    <t>Ingcamilo.ibanez@gmail.com</t>
  </si>
  <si>
    <t>CLAUDIA MARINA ORTIZ AVENDAÑO</t>
  </si>
  <si>
    <t>claudiao3740@hotmail.com</t>
  </si>
  <si>
    <t xml:space="preserve">VIANI YORELY RUIZ GALINDO </t>
  </si>
  <si>
    <t xml:space="preserve">MYRIAM KARINA PAREDES FORERO </t>
  </si>
  <si>
    <t>contador_mkpf@hotmail.com</t>
  </si>
  <si>
    <t>Profesional de proyectos M1</t>
  </si>
  <si>
    <t>Funciones_Prof_Proye_m1</t>
  </si>
  <si>
    <t xml:space="preserve">LUIS FELIPE URIBE PARRA </t>
  </si>
  <si>
    <t>Lfu1978@hotmail.com</t>
  </si>
  <si>
    <t xml:space="preserve">LUIS GUILLERMO MERCADO RICO </t>
  </si>
  <si>
    <t>luis.guillermo.mercado@gmail.com</t>
  </si>
  <si>
    <t xml:space="preserve">NESTOR ALONSO JAIMES PORTILLA </t>
  </si>
  <si>
    <t>najp74@hotmail.com</t>
  </si>
  <si>
    <t>ALVARO JAVIERQUIMBAYA MONTEALEGRE</t>
  </si>
  <si>
    <t>alvarojqm@gmail.com</t>
  </si>
  <si>
    <t>Ingeniero(a) Asistente de Company Man para operaciones de Perforación Completamiento y Workover  D3</t>
  </si>
  <si>
    <t>FRONTERA</t>
  </si>
  <si>
    <t>A_COMPANY_MAN_D3</t>
  </si>
  <si>
    <t>Soporte de ingeniería y operaciones en campo</t>
  </si>
  <si>
    <t>ANGELICA MARIA GONZALEZ SANCHEZ</t>
  </si>
  <si>
    <t>ing.gonzalez.angelica@gmail.com</t>
  </si>
  <si>
    <t>Ingeniero(a) Asistente de Company Man para operaciones de Perforación Completamiento y Workover D2</t>
  </si>
  <si>
    <t>A_COMPANY_MAN_D2</t>
  </si>
  <si>
    <t>GUSTAVO ADOLFO GIRALDO CORREA</t>
  </si>
  <si>
    <t>ggiraldocorrea@gmail.com</t>
  </si>
  <si>
    <t>Profesional de Proyectos A1</t>
  </si>
  <si>
    <t>Coordinar junto con el Director del proyecto la ejecución del mismo teniendo en cuenta la parte logística, administrativa y técnica.</t>
  </si>
  <si>
    <t>MARIA DEL PILAR GOMEZ MORA</t>
  </si>
  <si>
    <t>mdpgomezm@gmail.com</t>
  </si>
  <si>
    <t>Ingeniero(a) Asistente de Company Man para operaciones de Perforación Completamiento y Workover  D1</t>
  </si>
  <si>
    <t>A_COMPANY_MAN_D1</t>
  </si>
  <si>
    <t>MARIA MONICA SIERRA CESPEDES</t>
  </si>
  <si>
    <t>mariamonicasc@hotmail.com</t>
  </si>
  <si>
    <t>WENDY ZAMANDA FONSECA HURTADO</t>
  </si>
  <si>
    <t>zamandafh1988@gmail.com</t>
  </si>
  <si>
    <t>WILMAN ENRIQUE ALVAREZ QUIROZ</t>
  </si>
  <si>
    <t>wilman.alvarez1@hotmail.com</t>
  </si>
  <si>
    <t>OSCAR FERNANDO BELLO RODRIGUEZ</t>
  </si>
  <si>
    <t>osk_b@hotmail.com</t>
  </si>
  <si>
    <t>DARIO ALEXANDER POMARE ORTEGA</t>
  </si>
  <si>
    <t>dariopomare20@gmail.com</t>
  </si>
  <si>
    <t>Ingeniero(a) Asistente de Company Man para operaciones de Perforación Completamiento y Workover  D2</t>
  </si>
  <si>
    <t>DANNY KARINA ORTIZ ORTIZ</t>
  </si>
  <si>
    <t>dannykarina07@gmail.com</t>
  </si>
  <si>
    <t>MIGUEL OCTAVIO FIERRO CASTRO</t>
  </si>
  <si>
    <t>mfierrocastro@gmail.com</t>
  </si>
  <si>
    <t>Ingeniero(a) Asistente de Company Man para operaciones de Perforación Completamiento y Workover D1</t>
  </si>
  <si>
    <t>RICARDO ANDRES VARGAS CORREDOR</t>
  </si>
  <si>
    <t>ricardoanvaco@gmail.com</t>
  </si>
  <si>
    <t>DIEGO ALEJANDRO ACUÑA QUINTERO</t>
  </si>
  <si>
    <t>dacua8@gmail.com</t>
  </si>
  <si>
    <t>Ingeniero(a) Asistente de Company Man para operaciones de Perforación Completamiento y Workover D3</t>
  </si>
  <si>
    <t xml:space="preserve">ELIANA IVETH ALARCON RONDON </t>
  </si>
  <si>
    <t>nana.alarcon08@hotmail.com</t>
  </si>
  <si>
    <t>Profesional de Proyectos B1</t>
  </si>
  <si>
    <t>PETROSERVICIOS</t>
  </si>
  <si>
    <t>1032446831E</t>
  </si>
  <si>
    <t>Ejecutar junto con el Director del proyecto y/o el Coordinador de proyecto y/o el gerente general, el plan de trabajo de cada proyecto teniendo en cuenta los requerimientos contractuales, los aspectos logísticos, administrativos, financieros y técnicos.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</si>
</sst>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Verdana"/>
      <family val="2"/>
    </font>
    <font>
      <u/>
      <sz val="12"/>
      <color theme="10"/>
      <name val="Verdana"/>
      <family val="2"/>
    </font>
    <font>
      <sz val="12"/>
      <name val="Verdana"/>
      <family val="2"/>
    </font>
    <font>
      <u/>
      <sz val="12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0" fontId="4" fillId="10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 applyProtection="1">
      <alignment horizontal="center" vertical="center"/>
      <protection locked="0"/>
    </xf>
    <xf numFmtId="14" fontId="8" fillId="6" borderId="1" xfId="0" applyNumberFormat="1" applyFont="1" applyFill="1" applyBorder="1" applyAlignment="1">
      <alignment horizontal="center" vertical="center"/>
    </xf>
    <xf numFmtId="0" fontId="7" fillId="6" borderId="1" xfId="2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3" xfId="1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H-F-15_Evaluacion_desempe&#241;o%202024_v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6037506E"/>
      <sheetName val="Funciones_Asistente_Contable"/>
      <sheetName val="1121936876"/>
      <sheetName val="1014180459"/>
      <sheetName val="43728382E"/>
      <sheetName val="1014216060E"/>
      <sheetName val="52967140E"/>
      <sheetName val="52844528E"/>
      <sheetName val="1032414423E"/>
      <sheetName val="478731E"/>
      <sheetName val="1128452509E"/>
      <sheetName val="1010056001E"/>
      <sheetName val="40936668E"/>
      <sheetName val="1128474161E"/>
      <sheetName val="80883010E"/>
      <sheetName val="80170660E"/>
      <sheetName val="1075284985E"/>
      <sheetName val="83042295E"/>
      <sheetName val="1152210959E"/>
      <sheetName val="1022380991E"/>
      <sheetName val="1115069820E"/>
      <sheetName val="331789E"/>
      <sheetName val="1151954545E"/>
      <sheetName val="1019011177E"/>
      <sheetName val="1047451443E"/>
      <sheetName val="1032467291E"/>
      <sheetName val="1140847297E"/>
      <sheetName val="30405867E"/>
      <sheetName val="1095826986E"/>
      <sheetName val="1026255124E"/>
      <sheetName val="1075292422E"/>
      <sheetName val="1056709240E"/>
      <sheetName val="53103915E"/>
      <sheetName val="1098725794E"/>
      <sheetName val="1075292404E"/>
      <sheetName val="1098755426E"/>
      <sheetName val="1110502030E"/>
      <sheetName val="30400528E"/>
      <sheetName val="1026292916E"/>
      <sheetName val="52969518E"/>
      <sheetName val="1075293846E"/>
      <sheetName val="1049619319E"/>
      <sheetName val="1091660311E"/>
      <sheetName val="1010167959E"/>
      <sheetName val="1098739269E"/>
      <sheetName val="63527981E"/>
      <sheetName val="1085247861E"/>
      <sheetName val="91520047E"/>
      <sheetName val="10297751E"/>
      <sheetName val="1026267749E"/>
      <sheetName val="1098782789E"/>
      <sheetName val="13740129E"/>
      <sheetName val="1012387614E"/>
      <sheetName val="37514608E"/>
      <sheetName val="1075286382E"/>
      <sheetName val="1098697791E"/>
      <sheetName val="13720871E"/>
      <sheetName val="1023961699E"/>
      <sheetName val="1098733967E"/>
      <sheetName val="1072699593E"/>
      <sheetName val="1007555164E"/>
      <sheetName val="63540751E"/>
      <sheetName val="1143327261E"/>
      <sheetName val="80777836E"/>
      <sheetName val="1018455383E"/>
      <sheetName val="1098745210E"/>
      <sheetName val="1016597E"/>
      <sheetName val="1013633604E"/>
      <sheetName val="1003934174E"/>
      <sheetName val="91524899E"/>
      <sheetName val="1045706790E"/>
      <sheetName val="1040746072E"/>
      <sheetName val="1014262113E"/>
      <sheetName val="37546080E"/>
      <sheetName val="1075212439E"/>
      <sheetName val="1098726424E"/>
      <sheetName val="1087047704E"/>
      <sheetName val="1098663949E"/>
      <sheetName val="1032398017E"/>
      <sheetName val="506169E"/>
      <sheetName val="80074517E"/>
      <sheetName val="1013629348E"/>
      <sheetName val="91514446E"/>
      <sheetName val="1053792535E"/>
      <sheetName val="79686130E"/>
      <sheetName val="1098605467E"/>
      <sheetName val="1098795831E"/>
      <sheetName val="1098610954E"/>
      <sheetName val="Inicio"/>
      <sheetName val="Parametros"/>
      <sheetName val="Evaluación Nivel 1"/>
      <sheetName val="Evaluación Nivel 2"/>
      <sheetName val="Evaluación Nivel 3"/>
      <sheetName val="Evaluación Nivel 4"/>
      <sheetName val="Evaluación Nivel 5"/>
      <sheetName val="Base Personal"/>
      <sheetName val="1101693549E"/>
      <sheetName val="1098692205E"/>
      <sheetName val="1065599609E"/>
      <sheetName val="1098758681E"/>
      <sheetName val="1098706838E"/>
      <sheetName val="91527985E"/>
      <sheetName val="1098681773E"/>
      <sheetName val="1091668362E"/>
      <sheetName val="51781946E"/>
      <sheetName val="1100961505E"/>
      <sheetName val="74085101E"/>
      <sheetName val="1101692935E"/>
      <sheetName val="13959717E"/>
      <sheetName val="52455261E"/>
      <sheetName val="1121941649E"/>
      <sheetName val="Hoja2"/>
      <sheetName val="Lideres de proceso"/>
      <sheetName val="Resumen"/>
      <sheetName val="Relacion_Competencias "/>
      <sheetName val="Competencias por Nivel"/>
      <sheetName val="Matriz perfiles Organi "/>
      <sheetName val="Funciones_Profe_Proyecto_II"/>
      <sheetName val="A_COMPANY_MAN_D1"/>
      <sheetName val="A_COMPANY_MAN_D2"/>
      <sheetName val="A_COMPANY_MAN_D3"/>
      <sheetName val="SUPERVISOR_OPERACIONES_TIPO_1"/>
      <sheetName val="SUPERVISOR_OPERACIONES_TIPO_2"/>
      <sheetName val="SUPERVISOR_OPERACIONES_TIPO_3"/>
      <sheetName val="SUPERVISOR_OPERACIONES_TIPO_4"/>
      <sheetName val="SUPERVISOR_OPERACIONES_TIPO_5"/>
      <sheetName val="SUPERVISOR_OPERACIONES_TIPO_6"/>
      <sheetName val="SOPORTE_OPERATIVO_TIPO_1"/>
      <sheetName val="SOPORTE_OPERATIVO_TIPO_2"/>
      <sheetName val="SOPORTE_OPERATIVO_TIPO_3A"/>
      <sheetName val="SOPORTE_OPERATIVO_TIPO_3B"/>
      <sheetName val="SOP_OPE_TIPO_3A_CONDUCTORES"/>
      <sheetName val="SOPORTE_OPERATIVO_TIPO_4A"/>
      <sheetName val="SOPORTE_OPERATIVO_TIPO_4B"/>
      <sheetName val="SOP_OPE_TIPO_4A_CONDUCTORES"/>
      <sheetName val="SOPORTE_OPERATIVO_TIPO_5A"/>
      <sheetName val="SOPORTE_OPERATIVO_TIPO_5B"/>
      <sheetName val="SOP_OPE_TIPO_5A_CONDUCTORES"/>
      <sheetName val="Pro Especialista Helman"/>
      <sheetName val="Hoja1"/>
      <sheetName val="Funciones_Analista_Contable"/>
      <sheetName val="Profesional Senior Juan -3"/>
      <sheetName val="Profesional Senior Edisson"/>
      <sheetName val="Profesional junior Edgar"/>
      <sheetName val="Profesional Basico Denissary"/>
      <sheetName val="Profesional Senior Caroly "/>
      <sheetName val="Profesional Senior Manuel"/>
      <sheetName val="Profesional Senior Eduar"/>
      <sheetName val="Profesional Senior  Willliam"/>
      <sheetName val="Profesional Senior Carlos"/>
      <sheetName val="Profesional Junior Juan -3"/>
      <sheetName val="Profesional Junior  Dilan"/>
      <sheetName val="Profesional Basico Laura"/>
      <sheetName val="Profesional Basico  Sonia"/>
      <sheetName val="Profesional Especialista Carlos"/>
      <sheetName val="Profesional Senior Jose"/>
      <sheetName val="Profesional Senior Victor"/>
      <sheetName val="Profesional Senior Gloria"/>
      <sheetName val="Profesional Junior Juan -2"/>
      <sheetName val="Profesional Junior Jhan"/>
      <sheetName val="Profesional Junior Gerardo"/>
      <sheetName val="Profesional Junior Angie"/>
      <sheetName val="Profesional Junior Christian"/>
      <sheetName val="Profesional Junior Xiomara"/>
      <sheetName val="Profesional Junior Gustavo"/>
      <sheetName val="Profesional Senior Maria M"/>
      <sheetName val="Profesional Junior Carlos -3"/>
      <sheetName val="Profesional Junior Alberto"/>
      <sheetName val="1032446831E"/>
      <sheetName val="Profesional Junior Jean"/>
      <sheetName val="Profesional Junior Yohan"/>
      <sheetName val="Profesional Junior Jose A"/>
      <sheetName val="Profesional Especialista Mario "/>
      <sheetName val="Profesional Especialista Jorge"/>
      <sheetName val="Profesional Especialista Gladys"/>
      <sheetName val="Profesional Especialista Oscar"/>
      <sheetName val="Profe Especialista Alexander"/>
      <sheetName val="Profesional Senior Angelica"/>
      <sheetName val="Profesional Senior Gabriel "/>
      <sheetName val="Profesional Senior Mariann"/>
      <sheetName val="Profesional Senior Diana"/>
      <sheetName val="Profesional Senior Juan"/>
      <sheetName val="Profesional Especialista Ruben "/>
      <sheetName val="Profesional Senior Gilberto "/>
      <sheetName val="Profesional Senior Leidy"/>
      <sheetName val="Profesional Senior Jorge"/>
      <sheetName val="Profesional Junior William"/>
      <sheetName val="Profesional Senior Max"/>
      <sheetName val="Profesional Junior Andres"/>
      <sheetName val="Profesional Junior Lady"/>
      <sheetName val="Profesional Junior Ana"/>
      <sheetName val="Profesional Junior Luisa"/>
      <sheetName val="Profesional Junior Julian"/>
      <sheetName val="Profesional Junior Alexandra "/>
      <sheetName val="Profesional Junior Maylin"/>
      <sheetName val="Profesional Junior Karen"/>
      <sheetName val="Profesional Junior Carlos -2"/>
      <sheetName val="Profesional Senior Camila"/>
      <sheetName val="Profesional Senior Ruben G"/>
      <sheetName val="Profesional Senior Oscar"/>
      <sheetName val="Profesional Senior Ivan"/>
      <sheetName val="Profesional Senior Daniel"/>
      <sheetName val="Profesional Junior Ruben Ortiz"/>
      <sheetName val="Profesional Junior Juan"/>
      <sheetName val="Profesional Junior Jose "/>
      <sheetName val="Profesional Basico Camilo"/>
      <sheetName val="Profesional Basico Fernanda"/>
      <sheetName val="Profesional Basico Nicolas"/>
      <sheetName val="Profesional Senior Eduardo"/>
      <sheetName val="Profesional Senior Alejandro"/>
      <sheetName val="Profesional Senior Carolina"/>
      <sheetName val="Profesional Basico  Daniela"/>
      <sheetName val="Pro Especialista Adriana"/>
      <sheetName val="Funciones_Soporte_IT"/>
      <sheetName val="Profesional Senior Mario"/>
      <sheetName val="Profesional Junior Liz"/>
      <sheetName val="Prof_ Soporte Op_Campo"/>
      <sheetName val="Funciones_Sop_hseqcm"/>
      <sheetName val="Funciones_asis_admon_cm"/>
      <sheetName val="Funciones_Gerente_General"/>
      <sheetName val="Funciones_Subgerente"/>
      <sheetName val="Funciones_Gerente_Administratvo"/>
      <sheetName val="Funciones_Director_Proyectos"/>
      <sheetName val="Funciones_Coordinador_HSEQ"/>
      <sheetName val="Funciones_Coordinador_Contable"/>
      <sheetName val="Funciones_Coordinador_GH"/>
      <sheetName val="Funciones_Profesional_HSEQ"/>
      <sheetName val="Funciones_Prof_Proye_mb"/>
      <sheetName val="Funciones_Contador_Junior"/>
      <sheetName val="Funciones_Contador_Junior_Al"/>
      <sheetName val="Funciones_Soporte_HSEQ_adm"/>
      <sheetName val="Funciones_Asistente_GH"/>
      <sheetName val="Funciones_Analista_Nomina"/>
      <sheetName val="Funciones_Asistente_Adm_Dis"/>
      <sheetName val="Funciones_Asistente_Adm_Dis_II"/>
      <sheetName val="Funciones_Asistente_Adm"/>
      <sheetName val="Funciones_Asistente_Logistica"/>
      <sheetName val="Funciones_Servicios_Generales"/>
      <sheetName val="Funciones_Prof_Proye_alta"/>
      <sheetName val="Funciones_Asistente_Licitacione"/>
      <sheetName val="Profesional admon_GH_C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4">
          <cell r="F14" t="str">
            <v/>
          </cell>
        </row>
      </sheetData>
      <sheetData sheetId="89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 t="str">
            <v>No Aplica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rojas@meridianecp.com" TargetMode="External"/><Relationship Id="rId2" Type="http://schemas.openxmlformats.org/officeDocument/2006/relationships/hyperlink" Target="mailto:christian.pardo@meridianecp.com" TargetMode="External"/><Relationship Id="rId1" Type="http://schemas.openxmlformats.org/officeDocument/2006/relationships/hyperlink" Target="mailto:profesionalhseq@meridian.com.co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W231"/>
  <sheetViews>
    <sheetView tabSelected="1" zoomScale="70" zoomScaleNormal="70" workbookViewId="0">
      <pane ySplit="1" topLeftCell="A2" activePane="bottomLeft" state="frozen"/>
      <selection activeCell="B4" sqref="B4"/>
      <selection pane="bottomLeft" activeCell="C111" sqref="C111"/>
    </sheetView>
  </sheetViews>
  <sheetFormatPr baseColWidth="10" defaultRowHeight="15" x14ac:dyDescent="0.25"/>
  <cols>
    <col min="1" max="1" width="55.5703125" customWidth="1"/>
    <col min="2" max="2" width="28.140625" customWidth="1"/>
    <col min="3" max="3" width="17.7109375" customWidth="1"/>
    <col min="4" max="4" width="48.7109375" customWidth="1"/>
    <col min="5" max="5" width="51.85546875" customWidth="1"/>
    <col min="6" max="6" width="18.85546875" customWidth="1"/>
    <col min="7" max="7" width="28.140625" style="7" customWidth="1"/>
    <col min="8" max="8" width="39.140625" customWidth="1"/>
    <col min="9" max="9" width="9.140625" customWidth="1"/>
    <col min="10" max="12" width="40.42578125" customWidth="1"/>
    <col min="13" max="13" width="26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</row>
    <row r="2" spans="1:14" s="13" customFormat="1" ht="50.1" customHeight="1" x14ac:dyDescent="0.25">
      <c r="A2" s="9" t="s">
        <v>14</v>
      </c>
      <c r="B2" s="9" t="s">
        <v>15</v>
      </c>
      <c r="C2" s="9">
        <v>1022942596</v>
      </c>
      <c r="D2" s="9" t="s">
        <v>16</v>
      </c>
      <c r="E2" s="10" t="s">
        <v>17</v>
      </c>
      <c r="F2" s="9" t="s">
        <v>18</v>
      </c>
      <c r="G2" s="11">
        <v>45517</v>
      </c>
      <c r="H2" s="9" t="s">
        <v>19</v>
      </c>
      <c r="I2" s="9">
        <v>4</v>
      </c>
      <c r="J2" s="12" t="s">
        <v>20</v>
      </c>
      <c r="K2" s="12" t="s">
        <v>21</v>
      </c>
      <c r="L2" s="12" t="s">
        <v>22</v>
      </c>
      <c r="M2" s="9" t="s">
        <v>23</v>
      </c>
      <c r="N2" s="9"/>
    </row>
    <row r="3" spans="1:14" s="13" customFormat="1" ht="50.1" customHeight="1" x14ac:dyDescent="0.25">
      <c r="A3" s="9" t="s">
        <v>24</v>
      </c>
      <c r="B3" s="9" t="s">
        <v>15</v>
      </c>
      <c r="C3" s="9">
        <v>1007627524</v>
      </c>
      <c r="D3" s="9" t="s">
        <v>25</v>
      </c>
      <c r="E3" s="10" t="s">
        <v>26</v>
      </c>
      <c r="F3" s="9" t="s">
        <v>18</v>
      </c>
      <c r="G3" s="11">
        <v>45264</v>
      </c>
      <c r="H3" s="12" t="s">
        <v>27</v>
      </c>
      <c r="I3" s="9">
        <v>4</v>
      </c>
      <c r="J3" s="12" t="s">
        <v>28</v>
      </c>
      <c r="K3" s="12" t="s">
        <v>29</v>
      </c>
      <c r="L3" s="12" t="s">
        <v>30</v>
      </c>
      <c r="M3" s="9" t="s">
        <v>23</v>
      </c>
      <c r="N3" s="9"/>
    </row>
    <row r="4" spans="1:14" s="13" customFormat="1" ht="50.1" customHeight="1" x14ac:dyDescent="0.25">
      <c r="A4" s="9" t="s">
        <v>31</v>
      </c>
      <c r="B4" s="9" t="s">
        <v>15</v>
      </c>
      <c r="C4" s="9">
        <v>1014251428</v>
      </c>
      <c r="D4" s="9" t="s">
        <v>32</v>
      </c>
      <c r="E4" s="10" t="s">
        <v>33</v>
      </c>
      <c r="F4" s="9" t="s">
        <v>18</v>
      </c>
      <c r="G4" s="11">
        <v>44166</v>
      </c>
      <c r="H4" s="12" t="s">
        <v>27</v>
      </c>
      <c r="I4" s="9">
        <v>4</v>
      </c>
      <c r="J4" s="12" t="s">
        <v>34</v>
      </c>
      <c r="K4" s="12" t="s">
        <v>35</v>
      </c>
      <c r="L4" s="12" t="s">
        <v>30</v>
      </c>
      <c r="M4" s="9" t="s">
        <v>23</v>
      </c>
      <c r="N4" s="9"/>
    </row>
    <row r="5" spans="1:14" s="13" customFormat="1" ht="50.1" customHeight="1" x14ac:dyDescent="0.25">
      <c r="A5" s="9" t="s">
        <v>36</v>
      </c>
      <c r="B5" s="9" t="s">
        <v>15</v>
      </c>
      <c r="C5" s="9">
        <v>79490148</v>
      </c>
      <c r="D5" s="9" t="s">
        <v>37</v>
      </c>
      <c r="E5" s="10" t="s">
        <v>38</v>
      </c>
      <c r="F5" s="9" t="s">
        <v>18</v>
      </c>
      <c r="G5" s="11">
        <v>40026</v>
      </c>
      <c r="H5" s="9" t="s">
        <v>39</v>
      </c>
      <c r="I5" s="9">
        <v>1</v>
      </c>
      <c r="J5" s="12" t="s">
        <v>40</v>
      </c>
      <c r="K5" s="12" t="s">
        <v>41</v>
      </c>
      <c r="L5" s="9" t="s">
        <v>42</v>
      </c>
      <c r="M5" s="9"/>
      <c r="N5" s="9"/>
    </row>
    <row r="6" spans="1:14" s="13" customFormat="1" ht="50.1" customHeight="1" x14ac:dyDescent="0.25">
      <c r="A6" s="9" t="s">
        <v>43</v>
      </c>
      <c r="B6" s="9" t="s">
        <v>15</v>
      </c>
      <c r="C6" s="9">
        <v>1010126883</v>
      </c>
      <c r="D6" s="9" t="s">
        <v>44</v>
      </c>
      <c r="E6" s="10" t="s">
        <v>45</v>
      </c>
      <c r="F6" s="9" t="s">
        <v>18</v>
      </c>
      <c r="G6" s="11">
        <v>44028</v>
      </c>
      <c r="H6" s="9" t="s">
        <v>46</v>
      </c>
      <c r="I6" s="9">
        <v>3</v>
      </c>
      <c r="J6" s="12" t="s">
        <v>47</v>
      </c>
      <c r="K6" s="12" t="s">
        <v>21</v>
      </c>
      <c r="L6" s="9" t="s">
        <v>48</v>
      </c>
      <c r="M6" s="9"/>
      <c r="N6" s="9"/>
    </row>
    <row r="7" spans="1:14" s="13" customFormat="1" ht="50.1" customHeight="1" x14ac:dyDescent="0.25">
      <c r="A7" s="9" t="s">
        <v>49</v>
      </c>
      <c r="B7" s="9" t="s">
        <v>15</v>
      </c>
      <c r="C7" s="9">
        <v>1031145571</v>
      </c>
      <c r="D7" s="9" t="s">
        <v>50</v>
      </c>
      <c r="E7" s="10" t="s">
        <v>51</v>
      </c>
      <c r="F7" s="9" t="s">
        <v>18</v>
      </c>
      <c r="G7" s="11">
        <v>45152</v>
      </c>
      <c r="H7" s="9" t="s">
        <v>52</v>
      </c>
      <c r="I7" s="9">
        <v>4</v>
      </c>
      <c r="J7" s="12" t="s">
        <v>53</v>
      </c>
      <c r="K7" s="12" t="s">
        <v>54</v>
      </c>
      <c r="L7" s="12" t="s">
        <v>55</v>
      </c>
      <c r="M7" s="9" t="s">
        <v>23</v>
      </c>
      <c r="N7" s="9"/>
    </row>
    <row r="8" spans="1:14" s="13" customFormat="1" ht="50.1" customHeight="1" x14ac:dyDescent="0.25">
      <c r="A8" s="9" t="s">
        <v>56</v>
      </c>
      <c r="B8" s="9" t="s">
        <v>15</v>
      </c>
      <c r="C8" s="9">
        <v>1020733194</v>
      </c>
      <c r="D8" s="9" t="s">
        <v>57</v>
      </c>
      <c r="E8" s="10" t="s">
        <v>58</v>
      </c>
      <c r="F8" s="9" t="s">
        <v>18</v>
      </c>
      <c r="G8" s="11">
        <v>45090</v>
      </c>
      <c r="H8" s="12" t="s">
        <v>27</v>
      </c>
      <c r="I8" s="9">
        <v>2</v>
      </c>
      <c r="J8" s="12" t="s">
        <v>59</v>
      </c>
      <c r="K8" s="12" t="s">
        <v>60</v>
      </c>
      <c r="L8" s="12" t="s">
        <v>22</v>
      </c>
      <c r="M8" s="9" t="s">
        <v>23</v>
      </c>
      <c r="N8" s="9"/>
    </row>
    <row r="9" spans="1:14" s="13" customFormat="1" ht="50.1" customHeight="1" x14ac:dyDescent="0.25">
      <c r="A9" s="9" t="s">
        <v>61</v>
      </c>
      <c r="B9" s="12" t="s">
        <v>15</v>
      </c>
      <c r="C9" s="9">
        <v>1119211830</v>
      </c>
      <c r="D9" s="9" t="s">
        <v>62</v>
      </c>
      <c r="E9" s="14" t="s">
        <v>63</v>
      </c>
      <c r="F9" s="9" t="s">
        <v>18</v>
      </c>
      <c r="G9" s="11">
        <v>44887</v>
      </c>
      <c r="H9" s="9" t="s">
        <v>39</v>
      </c>
      <c r="I9" s="9">
        <v>2</v>
      </c>
      <c r="J9" s="14" t="s">
        <v>64</v>
      </c>
      <c r="K9" s="12" t="s">
        <v>65</v>
      </c>
      <c r="L9" s="12" t="s">
        <v>55</v>
      </c>
      <c r="M9" s="9" t="s">
        <v>23</v>
      </c>
      <c r="N9" s="9" t="e">
        <v>#N/A</v>
      </c>
    </row>
    <row r="10" spans="1:14" s="13" customFormat="1" ht="50.1" customHeight="1" x14ac:dyDescent="0.25">
      <c r="A10" s="9" t="s">
        <v>66</v>
      </c>
      <c r="B10" s="9" t="s">
        <v>15</v>
      </c>
      <c r="C10" s="9">
        <v>52030991</v>
      </c>
      <c r="D10" s="9" t="s">
        <v>67</v>
      </c>
      <c r="E10" s="10" t="s">
        <v>68</v>
      </c>
      <c r="F10" s="9" t="s">
        <v>18</v>
      </c>
      <c r="G10" s="11">
        <v>39814</v>
      </c>
      <c r="H10" s="9" t="s">
        <v>39</v>
      </c>
      <c r="I10" s="9">
        <v>1</v>
      </c>
      <c r="J10" s="12" t="s">
        <v>69</v>
      </c>
      <c r="K10" s="12" t="s">
        <v>70</v>
      </c>
      <c r="L10" s="9" t="s">
        <v>42</v>
      </c>
      <c r="M10" s="9"/>
      <c r="N10" s="9"/>
    </row>
    <row r="11" spans="1:14" s="13" customFormat="1" ht="50.1" customHeight="1" x14ac:dyDescent="0.25">
      <c r="A11" s="9" t="s">
        <v>71</v>
      </c>
      <c r="B11" s="9" t="s">
        <v>15</v>
      </c>
      <c r="C11" s="9">
        <v>52147279</v>
      </c>
      <c r="D11" s="9" t="s">
        <v>72</v>
      </c>
      <c r="E11" s="10" t="s">
        <v>73</v>
      </c>
      <c r="F11" s="9" t="s">
        <v>18</v>
      </c>
      <c r="G11" s="11">
        <v>40707</v>
      </c>
      <c r="H11" s="12" t="s">
        <v>27</v>
      </c>
      <c r="I11" s="9">
        <v>5</v>
      </c>
      <c r="J11" s="12" t="s">
        <v>74</v>
      </c>
      <c r="K11" s="12" t="s">
        <v>75</v>
      </c>
      <c r="L11" s="12" t="s">
        <v>30</v>
      </c>
      <c r="M11" s="9" t="s">
        <v>23</v>
      </c>
      <c r="N11" s="9"/>
    </row>
    <row r="12" spans="1:14" s="13" customFormat="1" ht="50.1" customHeight="1" x14ac:dyDescent="0.25">
      <c r="A12" s="9" t="s">
        <v>76</v>
      </c>
      <c r="B12" s="9" t="s">
        <v>15</v>
      </c>
      <c r="C12" s="9">
        <v>1014180459</v>
      </c>
      <c r="D12" s="9" t="s">
        <v>77</v>
      </c>
      <c r="E12" s="15" t="s">
        <v>33</v>
      </c>
      <c r="F12" s="9" t="s">
        <v>18</v>
      </c>
      <c r="G12" s="11">
        <v>45048</v>
      </c>
      <c r="H12" s="12" t="s">
        <v>27</v>
      </c>
      <c r="I12" s="9">
        <v>4</v>
      </c>
      <c r="J12" s="12" t="s">
        <v>78</v>
      </c>
      <c r="K12" s="12" t="s">
        <v>79</v>
      </c>
      <c r="L12" s="12" t="s">
        <v>30</v>
      </c>
      <c r="M12" s="9" t="s">
        <v>23</v>
      </c>
      <c r="N12" s="9"/>
    </row>
    <row r="13" spans="1:14" s="13" customFormat="1" ht="50.1" customHeight="1" x14ac:dyDescent="0.25">
      <c r="A13" s="9" t="s">
        <v>80</v>
      </c>
      <c r="B13" s="9" t="s">
        <v>15</v>
      </c>
      <c r="C13" s="9">
        <v>1007647736</v>
      </c>
      <c r="D13" s="9" t="s">
        <v>81</v>
      </c>
      <c r="E13" s="10" t="s">
        <v>82</v>
      </c>
      <c r="F13" s="9" t="s">
        <v>18</v>
      </c>
      <c r="G13" s="11">
        <v>45414</v>
      </c>
      <c r="H13" s="9" t="s">
        <v>19</v>
      </c>
      <c r="I13" s="9">
        <v>4</v>
      </c>
      <c r="J13" s="12" t="s">
        <v>20</v>
      </c>
      <c r="K13" s="12" t="s">
        <v>21</v>
      </c>
      <c r="L13" s="12" t="s">
        <v>22</v>
      </c>
      <c r="M13" s="9" t="s">
        <v>23</v>
      </c>
      <c r="N13" s="9"/>
    </row>
    <row r="14" spans="1:14" s="13" customFormat="1" ht="50.1" customHeight="1" x14ac:dyDescent="0.25">
      <c r="A14" s="9" t="s">
        <v>83</v>
      </c>
      <c r="B14" s="9" t="s">
        <v>15</v>
      </c>
      <c r="C14" s="9">
        <v>79613401</v>
      </c>
      <c r="D14" s="9" t="s">
        <v>84</v>
      </c>
      <c r="E14" s="10" t="s">
        <v>39</v>
      </c>
      <c r="F14" s="9" t="s">
        <v>18</v>
      </c>
      <c r="G14" s="11">
        <v>40026</v>
      </c>
      <c r="H14" s="12" t="s">
        <v>85</v>
      </c>
      <c r="I14" s="9">
        <v>1</v>
      </c>
      <c r="J14" s="12" t="s">
        <v>86</v>
      </c>
      <c r="K14" s="12" t="s">
        <v>87</v>
      </c>
      <c r="L14" s="12" t="s">
        <v>42</v>
      </c>
      <c r="M14" s="9" t="s">
        <v>23</v>
      </c>
      <c r="N14" s="9"/>
    </row>
    <row r="15" spans="1:14" s="13" customFormat="1" ht="50.1" customHeight="1" x14ac:dyDescent="0.25">
      <c r="A15" s="9" t="s">
        <v>88</v>
      </c>
      <c r="B15" s="9" t="s">
        <v>15</v>
      </c>
      <c r="C15" s="9">
        <v>52005033</v>
      </c>
      <c r="D15" s="9" t="s">
        <v>89</v>
      </c>
      <c r="E15" s="10" t="s">
        <v>90</v>
      </c>
      <c r="F15" s="9" t="s">
        <v>18</v>
      </c>
      <c r="G15" s="11">
        <v>43123</v>
      </c>
      <c r="H15" s="12" t="s">
        <v>27</v>
      </c>
      <c r="I15" s="9">
        <v>2</v>
      </c>
      <c r="J15" s="12" t="s">
        <v>91</v>
      </c>
      <c r="K15" s="12" t="s">
        <v>92</v>
      </c>
      <c r="L15" s="12" t="s">
        <v>48</v>
      </c>
      <c r="M15" s="9" t="s">
        <v>23</v>
      </c>
      <c r="N15" s="9"/>
    </row>
    <row r="16" spans="1:14" s="13" customFormat="1" ht="50.1" customHeight="1" x14ac:dyDescent="0.25">
      <c r="A16" s="9" t="s">
        <v>93</v>
      </c>
      <c r="B16" s="9" t="s">
        <v>15</v>
      </c>
      <c r="C16" s="9">
        <v>1019098876</v>
      </c>
      <c r="D16" s="9"/>
      <c r="E16" s="10" t="s">
        <v>94</v>
      </c>
      <c r="F16" s="9" t="s">
        <v>18</v>
      </c>
      <c r="G16" s="11">
        <v>45586</v>
      </c>
      <c r="H16" s="9" t="s">
        <v>46</v>
      </c>
      <c r="I16" s="9">
        <v>4</v>
      </c>
      <c r="J16" s="12" t="s">
        <v>95</v>
      </c>
      <c r="K16" s="12" t="s">
        <v>96</v>
      </c>
      <c r="L16" s="9" t="s">
        <v>48</v>
      </c>
      <c r="M16" s="9" t="s">
        <v>23</v>
      </c>
      <c r="N16" s="9"/>
    </row>
    <row r="17" spans="1:19" s="13" customFormat="1" ht="50.1" customHeight="1" x14ac:dyDescent="0.25">
      <c r="A17" s="9" t="s">
        <v>97</v>
      </c>
      <c r="B17" s="9" t="s">
        <v>15</v>
      </c>
      <c r="C17" s="9">
        <v>1000931984</v>
      </c>
      <c r="D17" s="9"/>
      <c r="E17" s="10" t="s">
        <v>98</v>
      </c>
      <c r="F17" s="9" t="s">
        <v>18</v>
      </c>
      <c r="G17" s="11">
        <v>45586</v>
      </c>
      <c r="H17" s="9" t="s">
        <v>46</v>
      </c>
      <c r="I17" s="9">
        <v>3</v>
      </c>
      <c r="J17" s="12" t="s">
        <v>99</v>
      </c>
      <c r="K17" s="12" t="s">
        <v>96</v>
      </c>
      <c r="L17" s="9" t="s">
        <v>48</v>
      </c>
      <c r="M17" s="9" t="s">
        <v>23</v>
      </c>
      <c r="N17" s="9"/>
    </row>
    <row r="18" spans="1:19" s="13" customFormat="1" ht="50.1" customHeight="1" x14ac:dyDescent="0.25">
      <c r="A18" s="9" t="s">
        <v>100</v>
      </c>
      <c r="B18" s="12" t="s">
        <v>15</v>
      </c>
      <c r="C18" s="9">
        <v>43728382</v>
      </c>
      <c r="D18" s="9" t="s">
        <v>101</v>
      </c>
      <c r="E18" s="9" t="s">
        <v>102</v>
      </c>
      <c r="F18" s="9" t="s">
        <v>103</v>
      </c>
      <c r="G18" s="11">
        <v>45294</v>
      </c>
      <c r="H18" s="9" t="s">
        <v>104</v>
      </c>
      <c r="I18" s="9">
        <v>3</v>
      </c>
      <c r="J18" s="16" t="e">
        <f>CONCATENATE(+#REF!,"E")</f>
        <v>#REF!</v>
      </c>
      <c r="K18" s="12" t="s">
        <v>105</v>
      </c>
      <c r="L18" s="9" t="s">
        <v>106</v>
      </c>
      <c r="M18" s="9" t="s">
        <v>107</v>
      </c>
      <c r="N18" s="9">
        <v>9135816</v>
      </c>
      <c r="S18" s="9"/>
    </row>
    <row r="19" spans="1:19" s="13" customFormat="1" ht="50.1" customHeight="1" x14ac:dyDescent="0.25">
      <c r="A19" s="9" t="s">
        <v>108</v>
      </c>
      <c r="B19" s="12" t="s">
        <v>15</v>
      </c>
      <c r="C19" s="9">
        <v>1014216060</v>
      </c>
      <c r="D19" s="9" t="s">
        <v>109</v>
      </c>
      <c r="E19" s="9" t="s">
        <v>110</v>
      </c>
      <c r="F19" s="9" t="s">
        <v>103</v>
      </c>
      <c r="G19" s="11">
        <v>45294</v>
      </c>
      <c r="H19" s="9" t="s">
        <v>104</v>
      </c>
      <c r="I19" s="9">
        <v>3</v>
      </c>
      <c r="J19" s="16" t="e">
        <f>CONCATENATE(+#REF!,"E")</f>
        <v>#REF!</v>
      </c>
      <c r="K19" s="12" t="s">
        <v>105</v>
      </c>
      <c r="L19" s="9" t="s">
        <v>106</v>
      </c>
      <c r="M19" s="9" t="s">
        <v>107</v>
      </c>
      <c r="N19" s="9">
        <v>9135816</v>
      </c>
    </row>
    <row r="20" spans="1:19" s="13" customFormat="1" ht="50.1" customHeight="1" x14ac:dyDescent="0.25">
      <c r="A20" s="9" t="s">
        <v>111</v>
      </c>
      <c r="B20" s="12" t="s">
        <v>15</v>
      </c>
      <c r="C20" s="9">
        <v>52967140</v>
      </c>
      <c r="D20" s="9" t="s">
        <v>112</v>
      </c>
      <c r="E20" s="9" t="s">
        <v>110</v>
      </c>
      <c r="F20" s="9" t="s">
        <v>103</v>
      </c>
      <c r="G20" s="11">
        <v>45294</v>
      </c>
      <c r="H20" s="9" t="s">
        <v>104</v>
      </c>
      <c r="I20" s="9">
        <v>3</v>
      </c>
      <c r="J20" s="16" t="e">
        <f>CONCATENATE(+#REF!,"E")</f>
        <v>#REF!</v>
      </c>
      <c r="K20" s="12" t="s">
        <v>105</v>
      </c>
      <c r="L20" s="9" t="s">
        <v>106</v>
      </c>
      <c r="M20" s="9" t="s">
        <v>107</v>
      </c>
      <c r="N20" s="9">
        <v>9135816</v>
      </c>
      <c r="R20" s="17"/>
    </row>
    <row r="21" spans="1:19" s="13" customFormat="1" ht="50.1" customHeight="1" x14ac:dyDescent="0.25">
      <c r="A21" s="9" t="s">
        <v>113</v>
      </c>
      <c r="B21" s="12" t="s">
        <v>15</v>
      </c>
      <c r="C21" s="9">
        <v>52844528</v>
      </c>
      <c r="D21" s="9" t="s">
        <v>114</v>
      </c>
      <c r="E21" s="9" t="s">
        <v>102</v>
      </c>
      <c r="F21" s="9" t="s">
        <v>103</v>
      </c>
      <c r="G21" s="11">
        <v>45294</v>
      </c>
      <c r="H21" s="9" t="s">
        <v>104</v>
      </c>
      <c r="I21" s="9">
        <v>3</v>
      </c>
      <c r="J21" s="16" t="e">
        <f>CONCATENATE(+#REF!,"E")</f>
        <v>#REF!</v>
      </c>
      <c r="K21" s="12" t="s">
        <v>105</v>
      </c>
      <c r="L21" s="9" t="s">
        <v>106</v>
      </c>
      <c r="M21" s="9" t="s">
        <v>107</v>
      </c>
      <c r="N21" s="9">
        <v>9135816</v>
      </c>
    </row>
    <row r="22" spans="1:19" s="13" customFormat="1" ht="50.1" customHeight="1" x14ac:dyDescent="0.25">
      <c r="A22" s="9" t="s">
        <v>115</v>
      </c>
      <c r="B22" s="12" t="s">
        <v>15</v>
      </c>
      <c r="C22" s="9">
        <v>1032414423</v>
      </c>
      <c r="D22" s="9" t="s">
        <v>116</v>
      </c>
      <c r="E22" s="9" t="s">
        <v>110</v>
      </c>
      <c r="F22" s="9" t="s">
        <v>103</v>
      </c>
      <c r="G22" s="11">
        <v>45294</v>
      </c>
      <c r="H22" s="9" t="s">
        <v>104</v>
      </c>
      <c r="I22" s="9">
        <v>3</v>
      </c>
      <c r="J22" s="16" t="e">
        <f>CONCATENATE(+#REF!,"E")</f>
        <v>#REF!</v>
      </c>
      <c r="K22" s="12" t="s">
        <v>105</v>
      </c>
      <c r="L22" s="9" t="s">
        <v>106</v>
      </c>
      <c r="M22" s="9" t="s">
        <v>107</v>
      </c>
      <c r="N22" s="9">
        <v>9119211</v>
      </c>
    </row>
    <row r="23" spans="1:19" s="22" customFormat="1" ht="50.1" customHeight="1" x14ac:dyDescent="0.25">
      <c r="A23" s="18" t="s">
        <v>117</v>
      </c>
      <c r="B23" s="19" t="s">
        <v>118</v>
      </c>
      <c r="C23" s="20">
        <v>478731</v>
      </c>
      <c r="D23" s="21" t="s">
        <v>119</v>
      </c>
      <c r="E23" s="15" t="s">
        <v>110</v>
      </c>
      <c r="F23" s="15" t="s">
        <v>107</v>
      </c>
      <c r="G23" s="11">
        <v>45300</v>
      </c>
      <c r="H23" s="15" t="s">
        <v>104</v>
      </c>
      <c r="I23" s="15">
        <v>3</v>
      </c>
      <c r="J23" s="16" t="e">
        <f>CONCATENATE(+#REF!,"E")</f>
        <v>#REF!</v>
      </c>
      <c r="K23" s="19" t="s">
        <v>120</v>
      </c>
      <c r="L23" s="9" t="s">
        <v>106</v>
      </c>
      <c r="M23" s="15" t="str">
        <f t="shared" ref="M23" si="0">F23</f>
        <v>PROYECTO PETROSERVICIOS</v>
      </c>
      <c r="N23" s="15">
        <v>9186546</v>
      </c>
    </row>
    <row r="24" spans="1:19" s="13" customFormat="1" ht="50.1" customHeight="1" x14ac:dyDescent="0.25">
      <c r="A24" s="9" t="s">
        <v>121</v>
      </c>
      <c r="B24" s="12" t="s">
        <v>15</v>
      </c>
      <c r="C24" s="9">
        <v>1128452509</v>
      </c>
      <c r="D24" s="9" t="s">
        <v>122</v>
      </c>
      <c r="E24" s="9" t="s">
        <v>110</v>
      </c>
      <c r="F24" s="9" t="s">
        <v>103</v>
      </c>
      <c r="G24" s="11">
        <v>45300</v>
      </c>
      <c r="H24" s="9" t="s">
        <v>104</v>
      </c>
      <c r="I24" s="9">
        <v>3</v>
      </c>
      <c r="J24" s="16" t="e">
        <f>CONCATENATE(+#REF!,"E")</f>
        <v>#REF!</v>
      </c>
      <c r="K24" s="12" t="s">
        <v>123</v>
      </c>
      <c r="L24" s="9" t="s">
        <v>106</v>
      </c>
      <c r="M24" s="9" t="s">
        <v>107</v>
      </c>
      <c r="N24" s="9">
        <v>9135816</v>
      </c>
    </row>
    <row r="25" spans="1:19" s="13" customFormat="1" ht="50.1" customHeight="1" x14ac:dyDescent="0.25">
      <c r="A25" s="9" t="s">
        <v>124</v>
      </c>
      <c r="B25" s="12" t="s">
        <v>15</v>
      </c>
      <c r="C25" s="9">
        <v>1010056001</v>
      </c>
      <c r="D25" s="9" t="s">
        <v>125</v>
      </c>
      <c r="E25" s="23" t="s">
        <v>126</v>
      </c>
      <c r="F25" s="9" t="s">
        <v>103</v>
      </c>
      <c r="G25" s="11">
        <v>45300</v>
      </c>
      <c r="H25" s="9" t="s">
        <v>104</v>
      </c>
      <c r="I25" s="9">
        <v>3</v>
      </c>
      <c r="J25" s="16" t="e">
        <f>CONCATENATE(+#REF!,"E")</f>
        <v>#REF!</v>
      </c>
      <c r="K25" s="12" t="s">
        <v>123</v>
      </c>
      <c r="L25" s="9" t="s">
        <v>106</v>
      </c>
      <c r="M25" s="9" t="s">
        <v>107</v>
      </c>
      <c r="N25" s="9">
        <v>9135816</v>
      </c>
    </row>
    <row r="26" spans="1:19" s="13" customFormat="1" ht="50.1" customHeight="1" x14ac:dyDescent="0.25">
      <c r="A26" s="9" t="s">
        <v>127</v>
      </c>
      <c r="B26" s="12" t="s">
        <v>15</v>
      </c>
      <c r="C26" s="9">
        <v>40936668</v>
      </c>
      <c r="D26" s="9" t="s">
        <v>128</v>
      </c>
      <c r="E26" s="23" t="s">
        <v>126</v>
      </c>
      <c r="F26" s="9" t="s">
        <v>103</v>
      </c>
      <c r="G26" s="11">
        <v>45300</v>
      </c>
      <c r="H26" s="9" t="s">
        <v>104</v>
      </c>
      <c r="I26" s="9">
        <v>3</v>
      </c>
      <c r="J26" s="16" t="e">
        <f>CONCATENATE(+#REF!,"E")</f>
        <v>#REF!</v>
      </c>
      <c r="K26" s="12" t="s">
        <v>123</v>
      </c>
      <c r="L26" s="9" t="s">
        <v>106</v>
      </c>
      <c r="M26" s="9" t="s">
        <v>107</v>
      </c>
      <c r="N26" s="9">
        <v>9135816</v>
      </c>
      <c r="S26" s="9"/>
    </row>
    <row r="27" spans="1:19" s="13" customFormat="1" ht="50.1" customHeight="1" x14ac:dyDescent="0.25">
      <c r="A27" s="9" t="s">
        <v>129</v>
      </c>
      <c r="B27" s="12" t="s">
        <v>15</v>
      </c>
      <c r="C27" s="9">
        <v>1128474161</v>
      </c>
      <c r="D27" s="9" t="s">
        <v>130</v>
      </c>
      <c r="E27" s="9" t="s">
        <v>110</v>
      </c>
      <c r="F27" s="9" t="s">
        <v>103</v>
      </c>
      <c r="G27" s="11">
        <v>45300</v>
      </c>
      <c r="H27" s="9" t="s">
        <v>104</v>
      </c>
      <c r="I27" s="9">
        <v>3</v>
      </c>
      <c r="J27" s="16" t="e">
        <f>CONCATENATE(+#REF!,"E")</f>
        <v>#REF!</v>
      </c>
      <c r="K27" s="12" t="s">
        <v>123</v>
      </c>
      <c r="L27" s="9" t="s">
        <v>106</v>
      </c>
      <c r="M27" s="9" t="s">
        <v>107</v>
      </c>
      <c r="N27" s="9">
        <v>9135816</v>
      </c>
      <c r="S27" s="9"/>
    </row>
    <row r="28" spans="1:19" s="13" customFormat="1" ht="50.1" customHeight="1" x14ac:dyDescent="0.25">
      <c r="A28" s="9" t="s">
        <v>131</v>
      </c>
      <c r="B28" s="12" t="s">
        <v>15</v>
      </c>
      <c r="C28" s="9">
        <v>80883010</v>
      </c>
      <c r="D28" s="9" t="s">
        <v>132</v>
      </c>
      <c r="E28" s="9" t="s">
        <v>110</v>
      </c>
      <c r="F28" s="9" t="s">
        <v>103</v>
      </c>
      <c r="G28" s="11">
        <v>45300</v>
      </c>
      <c r="H28" s="9" t="s">
        <v>104</v>
      </c>
      <c r="I28" s="9">
        <v>3</v>
      </c>
      <c r="J28" s="16" t="e">
        <f>CONCATENATE(+#REF!,"E")</f>
        <v>#REF!</v>
      </c>
      <c r="K28" s="12" t="s">
        <v>123</v>
      </c>
      <c r="L28" s="9" t="s">
        <v>106</v>
      </c>
      <c r="M28" s="9" t="s">
        <v>107</v>
      </c>
      <c r="N28" s="9">
        <v>9135816</v>
      </c>
      <c r="S28" s="9"/>
    </row>
    <row r="29" spans="1:19" s="13" customFormat="1" ht="50.1" customHeight="1" x14ac:dyDescent="0.25">
      <c r="A29" s="9" t="s">
        <v>133</v>
      </c>
      <c r="B29" s="12" t="s">
        <v>15</v>
      </c>
      <c r="C29" s="9">
        <v>80170660</v>
      </c>
      <c r="D29" s="9" t="s">
        <v>134</v>
      </c>
      <c r="E29" s="9" t="s">
        <v>102</v>
      </c>
      <c r="F29" s="9" t="s">
        <v>103</v>
      </c>
      <c r="G29" s="11">
        <v>45300</v>
      </c>
      <c r="H29" s="9" t="s">
        <v>104</v>
      </c>
      <c r="I29" s="9">
        <v>3</v>
      </c>
      <c r="J29" s="16" t="e">
        <f>CONCATENATE(+#REF!,"E")</f>
        <v>#REF!</v>
      </c>
      <c r="K29" s="12" t="s">
        <v>123</v>
      </c>
      <c r="L29" s="9" t="s">
        <v>106</v>
      </c>
      <c r="M29" s="9" t="s">
        <v>107</v>
      </c>
      <c r="N29" s="9">
        <v>9135816</v>
      </c>
    </row>
    <row r="30" spans="1:19" s="13" customFormat="1" ht="50.1" customHeight="1" x14ac:dyDescent="0.25">
      <c r="A30" s="9" t="s">
        <v>135</v>
      </c>
      <c r="B30" s="12" t="s">
        <v>15</v>
      </c>
      <c r="C30" s="9">
        <v>1075284985</v>
      </c>
      <c r="D30" s="9" t="s">
        <v>136</v>
      </c>
      <c r="E30" s="23" t="s">
        <v>126</v>
      </c>
      <c r="F30" s="9" t="s">
        <v>103</v>
      </c>
      <c r="G30" s="11">
        <v>45300</v>
      </c>
      <c r="H30" s="9" t="s">
        <v>104</v>
      </c>
      <c r="I30" s="9">
        <v>3</v>
      </c>
      <c r="J30" s="16" t="e">
        <f>CONCATENATE(+#REF!,"E")</f>
        <v>#REF!</v>
      </c>
      <c r="K30" s="12" t="s">
        <v>123</v>
      </c>
      <c r="L30" s="9" t="s">
        <v>106</v>
      </c>
      <c r="M30" s="9" t="s">
        <v>107</v>
      </c>
      <c r="N30" s="9">
        <v>9135816</v>
      </c>
      <c r="S30" s="9"/>
    </row>
    <row r="31" spans="1:19" s="13" customFormat="1" ht="50.1" customHeight="1" x14ac:dyDescent="0.25">
      <c r="A31" s="9" t="s">
        <v>137</v>
      </c>
      <c r="B31" s="12" t="s">
        <v>15</v>
      </c>
      <c r="C31" s="9">
        <v>83042295</v>
      </c>
      <c r="D31" s="9" t="s">
        <v>138</v>
      </c>
      <c r="E31" s="9" t="s">
        <v>110</v>
      </c>
      <c r="F31" s="24" t="s">
        <v>107</v>
      </c>
      <c r="G31" s="11">
        <v>45300</v>
      </c>
      <c r="H31" s="9" t="s">
        <v>104</v>
      </c>
      <c r="I31" s="9">
        <v>3</v>
      </c>
      <c r="J31" s="16" t="e">
        <f>CONCATENATE(+#REF!,"E")</f>
        <v>#REF!</v>
      </c>
      <c r="K31" s="12" t="s">
        <v>123</v>
      </c>
      <c r="L31" s="9" t="s">
        <v>106</v>
      </c>
      <c r="M31" s="9" t="str">
        <f t="shared" ref="M31" si="1">F31</f>
        <v>PROYECTO PETROSERVICIOS</v>
      </c>
      <c r="N31" s="9">
        <v>9318805</v>
      </c>
      <c r="S31" s="9"/>
    </row>
    <row r="32" spans="1:19" s="22" customFormat="1" ht="50.1" customHeight="1" x14ac:dyDescent="0.25">
      <c r="A32" s="15" t="s">
        <v>139</v>
      </c>
      <c r="B32" s="19" t="s">
        <v>15</v>
      </c>
      <c r="C32" s="15">
        <v>1152210959</v>
      </c>
      <c r="D32" s="15" t="s">
        <v>140</v>
      </c>
      <c r="E32" s="15" t="s">
        <v>141</v>
      </c>
      <c r="F32" s="15" t="s">
        <v>103</v>
      </c>
      <c r="G32" s="25">
        <v>45468</v>
      </c>
      <c r="H32" s="15" t="s">
        <v>104</v>
      </c>
      <c r="I32" s="15">
        <v>3</v>
      </c>
      <c r="J32" s="16" t="e">
        <f>CONCATENATE(+#REF!,"E")</f>
        <v>#REF!</v>
      </c>
      <c r="K32" s="19" t="s">
        <v>123</v>
      </c>
      <c r="L32" s="9" t="s">
        <v>106</v>
      </c>
      <c r="M32" s="15" t="s">
        <v>107</v>
      </c>
      <c r="N32" s="15">
        <v>9135816</v>
      </c>
    </row>
    <row r="33" spans="1:23" s="13" customFormat="1" ht="50.1" customHeight="1" x14ac:dyDescent="0.25">
      <c r="A33" s="9" t="s">
        <v>142</v>
      </c>
      <c r="B33" s="12" t="s">
        <v>15</v>
      </c>
      <c r="C33" s="9">
        <v>1022380991</v>
      </c>
      <c r="D33" s="9" t="s">
        <v>143</v>
      </c>
      <c r="E33" s="23" t="s">
        <v>126</v>
      </c>
      <c r="F33" s="9" t="s">
        <v>103</v>
      </c>
      <c r="G33" s="11">
        <v>45300</v>
      </c>
      <c r="H33" s="9" t="s">
        <v>104</v>
      </c>
      <c r="I33" s="9">
        <v>3</v>
      </c>
      <c r="J33" s="16" t="e">
        <f>CONCATENATE(+#REF!,"E")</f>
        <v>#REF!</v>
      </c>
      <c r="K33" s="12" t="s">
        <v>144</v>
      </c>
      <c r="L33" s="9" t="s">
        <v>106</v>
      </c>
      <c r="M33" s="9" t="s">
        <v>107</v>
      </c>
      <c r="N33" s="9">
        <v>9135816</v>
      </c>
      <c r="S33" s="9"/>
    </row>
    <row r="34" spans="1:23" s="13" customFormat="1" ht="50.1" customHeight="1" x14ac:dyDescent="0.25">
      <c r="A34" s="9" t="s">
        <v>145</v>
      </c>
      <c r="B34" s="12" t="s">
        <v>15</v>
      </c>
      <c r="C34" s="9">
        <v>1115069820</v>
      </c>
      <c r="D34" s="9" t="s">
        <v>146</v>
      </c>
      <c r="E34" s="23" t="s">
        <v>147</v>
      </c>
      <c r="F34" s="9" t="s">
        <v>103</v>
      </c>
      <c r="G34" s="11">
        <v>45300</v>
      </c>
      <c r="H34" s="9" t="s">
        <v>104</v>
      </c>
      <c r="I34" s="9">
        <v>3</v>
      </c>
      <c r="J34" s="16" t="e">
        <f>CONCATENATE(+#REF!,"E")</f>
        <v>#REF!</v>
      </c>
      <c r="K34" s="12" t="s">
        <v>144</v>
      </c>
      <c r="L34" s="9" t="s">
        <v>106</v>
      </c>
      <c r="M34" s="9" t="s">
        <v>107</v>
      </c>
      <c r="N34" s="9">
        <v>9135816</v>
      </c>
      <c r="S34" s="9"/>
    </row>
    <row r="35" spans="1:23" s="13" customFormat="1" ht="50.1" customHeight="1" x14ac:dyDescent="0.25">
      <c r="A35" s="9" t="s">
        <v>148</v>
      </c>
      <c r="B35" s="12" t="s">
        <v>118</v>
      </c>
      <c r="C35" s="9">
        <v>331789</v>
      </c>
      <c r="D35" s="9" t="s">
        <v>149</v>
      </c>
      <c r="E35" s="23" t="s">
        <v>102</v>
      </c>
      <c r="F35" s="9" t="s">
        <v>103</v>
      </c>
      <c r="G35" s="11">
        <v>45300</v>
      </c>
      <c r="H35" s="9" t="s">
        <v>104</v>
      </c>
      <c r="I35" s="9">
        <v>3</v>
      </c>
      <c r="J35" s="16" t="e">
        <f>CONCATENATE(+#REF!,"E")</f>
        <v>#REF!</v>
      </c>
      <c r="K35" s="12" t="s">
        <v>144</v>
      </c>
      <c r="L35" s="9" t="s">
        <v>106</v>
      </c>
      <c r="M35" s="9" t="s">
        <v>107</v>
      </c>
      <c r="N35" s="9">
        <v>9135816</v>
      </c>
      <c r="S35" s="9"/>
    </row>
    <row r="36" spans="1:23" s="13" customFormat="1" ht="50.1" customHeight="1" x14ac:dyDescent="0.25">
      <c r="A36" s="9" t="s">
        <v>150</v>
      </c>
      <c r="B36" s="12" t="s">
        <v>15</v>
      </c>
      <c r="C36" s="9">
        <v>1151954545</v>
      </c>
      <c r="D36" s="9" t="s">
        <v>151</v>
      </c>
      <c r="E36" s="23" t="s">
        <v>147</v>
      </c>
      <c r="F36" s="9" t="s">
        <v>103</v>
      </c>
      <c r="G36" s="11">
        <v>45300</v>
      </c>
      <c r="H36" s="9" t="s">
        <v>104</v>
      </c>
      <c r="I36" s="9">
        <v>3</v>
      </c>
      <c r="J36" s="16" t="e">
        <f>CONCATENATE(+#REF!,"E")</f>
        <v>#REF!</v>
      </c>
      <c r="K36" s="12" t="s">
        <v>144</v>
      </c>
      <c r="L36" s="9" t="s">
        <v>106</v>
      </c>
      <c r="M36" s="9" t="s">
        <v>107</v>
      </c>
      <c r="N36" s="9">
        <v>9139035</v>
      </c>
    </row>
    <row r="37" spans="1:23" s="22" customFormat="1" ht="50.1" customHeight="1" x14ac:dyDescent="0.25">
      <c r="A37" s="15" t="s">
        <v>152</v>
      </c>
      <c r="B37" s="19" t="s">
        <v>15</v>
      </c>
      <c r="C37" s="15">
        <v>1019011177</v>
      </c>
      <c r="D37" s="15" t="s">
        <v>153</v>
      </c>
      <c r="E37" s="23" t="s">
        <v>147</v>
      </c>
      <c r="F37" s="15" t="s">
        <v>103</v>
      </c>
      <c r="G37" s="25">
        <v>45300</v>
      </c>
      <c r="H37" s="15" t="s">
        <v>104</v>
      </c>
      <c r="I37" s="15">
        <v>3</v>
      </c>
      <c r="J37" s="16" t="e">
        <f>CONCATENATE(+#REF!,"E")</f>
        <v>#REF!</v>
      </c>
      <c r="K37" s="19" t="s">
        <v>144</v>
      </c>
      <c r="L37" s="9" t="s">
        <v>106</v>
      </c>
      <c r="M37" s="15" t="s">
        <v>107</v>
      </c>
      <c r="N37" s="15">
        <v>9139035</v>
      </c>
    </row>
    <row r="38" spans="1:23" s="13" customFormat="1" ht="50.1" customHeight="1" x14ac:dyDescent="0.25">
      <c r="A38" s="9" t="s">
        <v>154</v>
      </c>
      <c r="B38" s="12" t="s">
        <v>15</v>
      </c>
      <c r="C38" s="9">
        <v>1047451443</v>
      </c>
      <c r="D38" s="9" t="s">
        <v>155</v>
      </c>
      <c r="E38" s="15" t="s">
        <v>141</v>
      </c>
      <c r="F38" s="9" t="s">
        <v>103</v>
      </c>
      <c r="G38" s="11">
        <v>45301</v>
      </c>
      <c r="H38" s="9" t="s">
        <v>104</v>
      </c>
      <c r="I38" s="9">
        <v>3</v>
      </c>
      <c r="J38" s="16" t="e">
        <f>CONCATENATE(+#REF!,"E")</f>
        <v>#REF!</v>
      </c>
      <c r="K38" s="12" t="s">
        <v>156</v>
      </c>
      <c r="L38" s="9" t="s">
        <v>106</v>
      </c>
      <c r="M38" s="9" t="s">
        <v>107</v>
      </c>
      <c r="N38" s="9">
        <v>9108440</v>
      </c>
    </row>
    <row r="39" spans="1:23" s="13" customFormat="1" ht="50.1" customHeight="1" x14ac:dyDescent="0.25">
      <c r="A39" s="9" t="s">
        <v>157</v>
      </c>
      <c r="B39" s="12" t="s">
        <v>15</v>
      </c>
      <c r="C39" s="9">
        <v>1032467291</v>
      </c>
      <c r="D39" s="9" t="s">
        <v>158</v>
      </c>
      <c r="E39" s="23" t="s">
        <v>126</v>
      </c>
      <c r="F39" s="9" t="s">
        <v>103</v>
      </c>
      <c r="G39" s="11">
        <v>45301</v>
      </c>
      <c r="H39" s="9" t="s">
        <v>104</v>
      </c>
      <c r="I39" s="9">
        <v>3</v>
      </c>
      <c r="J39" s="16" t="e">
        <f>CONCATENATE(+#REF!,"E")</f>
        <v>#REF!</v>
      </c>
      <c r="K39" s="12" t="s">
        <v>156</v>
      </c>
      <c r="L39" s="9" t="s">
        <v>106</v>
      </c>
      <c r="M39" s="9" t="s">
        <v>107</v>
      </c>
      <c r="N39" s="9">
        <v>9108440</v>
      </c>
    </row>
    <row r="40" spans="1:23" s="13" customFormat="1" ht="50.1" customHeight="1" x14ac:dyDescent="0.25">
      <c r="A40" s="9" t="s">
        <v>159</v>
      </c>
      <c r="B40" s="12" t="s">
        <v>15</v>
      </c>
      <c r="C40" s="9">
        <v>1140847297</v>
      </c>
      <c r="D40" s="9" t="s">
        <v>160</v>
      </c>
      <c r="E40" s="23" t="s">
        <v>147</v>
      </c>
      <c r="F40" s="9" t="s">
        <v>103</v>
      </c>
      <c r="G40" s="11">
        <v>45301</v>
      </c>
      <c r="H40" s="9" t="s">
        <v>104</v>
      </c>
      <c r="I40" s="9">
        <v>3</v>
      </c>
      <c r="J40" s="16" t="e">
        <f>CONCATENATE(+#REF!,"E")</f>
        <v>#REF!</v>
      </c>
      <c r="K40" s="12" t="s">
        <v>156</v>
      </c>
      <c r="L40" s="9" t="s">
        <v>106</v>
      </c>
      <c r="M40" s="9" t="s">
        <v>107</v>
      </c>
      <c r="N40" s="9">
        <v>9108440</v>
      </c>
      <c r="S40" s="9"/>
    </row>
    <row r="41" spans="1:23" s="13" customFormat="1" ht="50.1" customHeight="1" x14ac:dyDescent="0.25">
      <c r="A41" s="9" t="s">
        <v>161</v>
      </c>
      <c r="B41" s="12" t="s">
        <v>15</v>
      </c>
      <c r="C41" s="9">
        <v>30405867</v>
      </c>
      <c r="D41" s="9" t="s">
        <v>162</v>
      </c>
      <c r="E41" s="23" t="s">
        <v>126</v>
      </c>
      <c r="F41" s="9" t="s">
        <v>103</v>
      </c>
      <c r="G41" s="11">
        <v>45301</v>
      </c>
      <c r="H41" s="9" t="s">
        <v>104</v>
      </c>
      <c r="I41" s="9">
        <v>3</v>
      </c>
      <c r="J41" s="16" t="e">
        <f>CONCATENATE(+#REF!,"E")</f>
        <v>#REF!</v>
      </c>
      <c r="K41" s="12" t="s">
        <v>156</v>
      </c>
      <c r="L41" s="9" t="s">
        <v>106</v>
      </c>
      <c r="M41" s="9" t="s">
        <v>107</v>
      </c>
      <c r="N41" s="9">
        <v>9108440</v>
      </c>
    </row>
    <row r="42" spans="1:23" s="13" customFormat="1" ht="50.1" customHeight="1" x14ac:dyDescent="0.25">
      <c r="A42" s="9" t="s">
        <v>163</v>
      </c>
      <c r="B42" s="12" t="s">
        <v>15</v>
      </c>
      <c r="C42" s="9">
        <v>1095826986</v>
      </c>
      <c r="D42" s="9" t="s">
        <v>164</v>
      </c>
      <c r="E42" s="23" t="s">
        <v>126</v>
      </c>
      <c r="F42" s="9" t="s">
        <v>103</v>
      </c>
      <c r="G42" s="11">
        <v>45301</v>
      </c>
      <c r="H42" s="9" t="s">
        <v>104</v>
      </c>
      <c r="I42" s="9">
        <v>3</v>
      </c>
      <c r="J42" s="16" t="e">
        <f>CONCATENATE(+#REF!,"E")</f>
        <v>#REF!</v>
      </c>
      <c r="K42" s="12" t="s">
        <v>156</v>
      </c>
      <c r="L42" s="9" t="s">
        <v>106</v>
      </c>
      <c r="M42" s="9" t="s">
        <v>107</v>
      </c>
      <c r="N42" s="9">
        <v>9108440</v>
      </c>
      <c r="S42" s="9"/>
    </row>
    <row r="43" spans="1:23" s="13" customFormat="1" ht="50.1" customHeight="1" x14ac:dyDescent="0.25">
      <c r="A43" s="9" t="s">
        <v>165</v>
      </c>
      <c r="B43" s="12" t="s">
        <v>15</v>
      </c>
      <c r="C43" s="9">
        <v>1026255124</v>
      </c>
      <c r="D43" s="9" t="s">
        <v>166</v>
      </c>
      <c r="E43" s="23" t="s">
        <v>126</v>
      </c>
      <c r="F43" s="9" t="s">
        <v>103</v>
      </c>
      <c r="G43" s="11">
        <v>45301</v>
      </c>
      <c r="H43" s="9" t="s">
        <v>104</v>
      </c>
      <c r="I43" s="9">
        <v>3</v>
      </c>
      <c r="J43" s="16" t="e">
        <f>CONCATENATE(+#REF!,"E")</f>
        <v>#REF!</v>
      </c>
      <c r="K43" s="12" t="s">
        <v>156</v>
      </c>
      <c r="L43" s="9" t="s">
        <v>106</v>
      </c>
      <c r="M43" s="9" t="s">
        <v>107</v>
      </c>
      <c r="N43" s="9" t="s">
        <v>167</v>
      </c>
      <c r="O43" s="17"/>
      <c r="P43" s="17"/>
      <c r="Q43" s="17"/>
      <c r="R43" s="17"/>
      <c r="S43" s="9"/>
      <c r="U43" s="17"/>
      <c r="V43" s="17"/>
      <c r="W43" s="17"/>
    </row>
    <row r="44" spans="1:23" s="13" customFormat="1" ht="50.1" customHeight="1" x14ac:dyDescent="0.25">
      <c r="A44" s="9" t="s">
        <v>168</v>
      </c>
      <c r="B44" s="12" t="s">
        <v>15</v>
      </c>
      <c r="C44" s="9">
        <v>1075292422</v>
      </c>
      <c r="D44" s="9" t="s">
        <v>169</v>
      </c>
      <c r="E44" s="23" t="s">
        <v>126</v>
      </c>
      <c r="F44" s="9" t="s">
        <v>103</v>
      </c>
      <c r="G44" s="11">
        <v>45301</v>
      </c>
      <c r="H44" s="9" t="s">
        <v>104</v>
      </c>
      <c r="I44" s="9">
        <v>3</v>
      </c>
      <c r="J44" s="16" t="e">
        <f>CONCATENATE(+#REF!,"E")</f>
        <v>#REF!</v>
      </c>
      <c r="K44" s="12" t="s">
        <v>156</v>
      </c>
      <c r="L44" s="9" t="s">
        <v>106</v>
      </c>
      <c r="M44" s="9" t="s">
        <v>107</v>
      </c>
      <c r="N44" s="9" t="s">
        <v>167</v>
      </c>
    </row>
    <row r="45" spans="1:23" s="13" customFormat="1" ht="50.1" customHeight="1" x14ac:dyDescent="0.25">
      <c r="A45" s="9" t="s">
        <v>170</v>
      </c>
      <c r="B45" s="12" t="s">
        <v>15</v>
      </c>
      <c r="C45" s="9">
        <v>1056709240</v>
      </c>
      <c r="D45" s="9" t="s">
        <v>171</v>
      </c>
      <c r="E45" s="23" t="s">
        <v>147</v>
      </c>
      <c r="F45" s="9" t="s">
        <v>103</v>
      </c>
      <c r="G45" s="11">
        <v>45348</v>
      </c>
      <c r="H45" s="9" t="s">
        <v>104</v>
      </c>
      <c r="I45" s="9">
        <v>3</v>
      </c>
      <c r="J45" s="16" t="e">
        <f>CONCATENATE(+#REF!,"E")</f>
        <v>#REF!</v>
      </c>
      <c r="K45" s="12" t="s">
        <v>156</v>
      </c>
      <c r="L45" s="9" t="s">
        <v>106</v>
      </c>
      <c r="M45" s="9" t="s">
        <v>107</v>
      </c>
      <c r="N45" s="9">
        <v>9135816</v>
      </c>
      <c r="S45" s="9"/>
    </row>
    <row r="46" spans="1:23" s="13" customFormat="1" ht="50.1" customHeight="1" x14ac:dyDescent="0.25">
      <c r="A46" s="9" t="s">
        <v>172</v>
      </c>
      <c r="B46" s="12" t="s">
        <v>15</v>
      </c>
      <c r="C46" s="9">
        <v>53103915</v>
      </c>
      <c r="D46" s="9" t="s">
        <v>173</v>
      </c>
      <c r="E46" s="23" t="s">
        <v>147</v>
      </c>
      <c r="F46" s="9" t="s">
        <v>103</v>
      </c>
      <c r="G46" s="11">
        <v>45355</v>
      </c>
      <c r="H46" s="9" t="s">
        <v>104</v>
      </c>
      <c r="I46" s="9">
        <v>3</v>
      </c>
      <c r="J46" s="16" t="e">
        <f>CONCATENATE(+#REF!,"E")</f>
        <v>#REF!</v>
      </c>
      <c r="K46" s="12" t="s">
        <v>156</v>
      </c>
      <c r="L46" s="9" t="s">
        <v>106</v>
      </c>
      <c r="M46" s="9" t="s">
        <v>107</v>
      </c>
      <c r="N46" s="9">
        <v>9135816</v>
      </c>
      <c r="S46" s="9"/>
    </row>
    <row r="47" spans="1:23" s="13" customFormat="1" ht="50.1" customHeight="1" x14ac:dyDescent="0.25">
      <c r="A47" s="9" t="s">
        <v>174</v>
      </c>
      <c r="B47" s="12" t="s">
        <v>15</v>
      </c>
      <c r="C47" s="9">
        <v>1098725794</v>
      </c>
      <c r="D47" s="16" t="s">
        <v>175</v>
      </c>
      <c r="E47" s="23" t="s">
        <v>126</v>
      </c>
      <c r="F47" s="9" t="s">
        <v>103</v>
      </c>
      <c r="G47" s="11">
        <v>45383</v>
      </c>
      <c r="H47" s="9" t="s">
        <v>104</v>
      </c>
      <c r="I47" s="9">
        <v>3</v>
      </c>
      <c r="J47" s="16" t="e">
        <f>CONCATENATE(+#REF!,"E")</f>
        <v>#REF!</v>
      </c>
      <c r="K47" s="12" t="s">
        <v>156</v>
      </c>
      <c r="L47" s="9" t="s">
        <v>106</v>
      </c>
      <c r="M47" s="9" t="s">
        <v>107</v>
      </c>
      <c r="N47" s="9">
        <v>9119211</v>
      </c>
      <c r="S47" s="9"/>
    </row>
    <row r="48" spans="1:23" s="13" customFormat="1" ht="50.1" customHeight="1" x14ac:dyDescent="0.25">
      <c r="A48" s="9" t="s">
        <v>176</v>
      </c>
      <c r="B48" s="12" t="s">
        <v>15</v>
      </c>
      <c r="C48" s="9">
        <v>1075292404</v>
      </c>
      <c r="D48" s="9" t="s">
        <v>177</v>
      </c>
      <c r="E48" s="23" t="s">
        <v>126</v>
      </c>
      <c r="F48" s="9" t="s">
        <v>103</v>
      </c>
      <c r="G48" s="11">
        <v>45397</v>
      </c>
      <c r="H48" s="9" t="s">
        <v>104</v>
      </c>
      <c r="I48" s="9">
        <v>3</v>
      </c>
      <c r="J48" s="16" t="e">
        <f>CONCATENATE(+#REF!,"E")</f>
        <v>#REF!</v>
      </c>
      <c r="K48" s="12" t="s">
        <v>156</v>
      </c>
      <c r="L48" s="9" t="s">
        <v>106</v>
      </c>
      <c r="M48" s="9" t="s">
        <v>107</v>
      </c>
      <c r="N48" s="9">
        <v>9142407</v>
      </c>
    </row>
    <row r="49" spans="1:23" s="22" customFormat="1" ht="50.1" customHeight="1" x14ac:dyDescent="0.25">
      <c r="A49" s="15" t="s">
        <v>178</v>
      </c>
      <c r="B49" s="19" t="s">
        <v>15</v>
      </c>
      <c r="C49" s="15">
        <v>1098755426</v>
      </c>
      <c r="D49" s="15" t="s">
        <v>179</v>
      </c>
      <c r="E49" s="23" t="s">
        <v>126</v>
      </c>
      <c r="F49" s="15" t="s">
        <v>103</v>
      </c>
      <c r="G49" s="25">
        <v>45433</v>
      </c>
      <c r="H49" s="15" t="s">
        <v>104</v>
      </c>
      <c r="I49" s="15">
        <v>3</v>
      </c>
      <c r="J49" s="16" t="e">
        <f>CONCATENATE(+#REF!,"E")</f>
        <v>#REF!</v>
      </c>
      <c r="K49" s="19" t="s">
        <v>156</v>
      </c>
      <c r="L49" s="9" t="s">
        <v>106</v>
      </c>
      <c r="M49" s="15" t="s">
        <v>107</v>
      </c>
      <c r="N49" s="15">
        <v>9142407</v>
      </c>
    </row>
    <row r="50" spans="1:23" s="13" customFormat="1" ht="50.1" customHeight="1" x14ac:dyDescent="0.25">
      <c r="A50" s="9" t="s">
        <v>180</v>
      </c>
      <c r="B50" s="12" t="s">
        <v>15</v>
      </c>
      <c r="C50" s="9">
        <v>1110502030</v>
      </c>
      <c r="D50" s="9" t="s">
        <v>181</v>
      </c>
      <c r="E50" s="23" t="s">
        <v>147</v>
      </c>
      <c r="F50" s="9" t="s">
        <v>103</v>
      </c>
      <c r="G50" s="25">
        <v>45306</v>
      </c>
      <c r="H50" s="9" t="s">
        <v>104</v>
      </c>
      <c r="I50" s="9">
        <v>3</v>
      </c>
      <c r="J50" s="16" t="e">
        <f>CONCATENATE(+#REF!,"E")</f>
        <v>#REF!</v>
      </c>
      <c r="K50" s="12" t="s">
        <v>182</v>
      </c>
      <c r="L50" s="9" t="s">
        <v>106</v>
      </c>
      <c r="M50" s="9" t="s">
        <v>107</v>
      </c>
      <c r="N50" s="9">
        <v>9142407</v>
      </c>
    </row>
    <row r="51" spans="1:23" s="13" customFormat="1" ht="50.1" customHeight="1" x14ac:dyDescent="0.25">
      <c r="A51" s="9" t="s">
        <v>183</v>
      </c>
      <c r="B51" s="12" t="s">
        <v>15</v>
      </c>
      <c r="C51" s="9">
        <v>30400528</v>
      </c>
      <c r="D51" s="9" t="s">
        <v>184</v>
      </c>
      <c r="E51" s="23" t="s">
        <v>126</v>
      </c>
      <c r="F51" s="9" t="s">
        <v>103</v>
      </c>
      <c r="G51" s="11">
        <v>45307</v>
      </c>
      <c r="H51" s="9" t="s">
        <v>104</v>
      </c>
      <c r="I51" s="9">
        <v>3</v>
      </c>
      <c r="J51" s="16" t="e">
        <f>CONCATENATE(+#REF!,"E")</f>
        <v>#REF!</v>
      </c>
      <c r="K51" s="12" t="s">
        <v>185</v>
      </c>
      <c r="L51" s="9" t="s">
        <v>106</v>
      </c>
      <c r="M51" s="9" t="s">
        <v>107</v>
      </c>
      <c r="N51" s="9">
        <v>9142407</v>
      </c>
    </row>
    <row r="52" spans="1:23" s="13" customFormat="1" ht="50.1" customHeight="1" x14ac:dyDescent="0.25">
      <c r="A52" s="9" t="s">
        <v>186</v>
      </c>
      <c r="B52" s="12" t="s">
        <v>15</v>
      </c>
      <c r="C52" s="9">
        <v>1026292916</v>
      </c>
      <c r="D52" s="9" t="s">
        <v>187</v>
      </c>
      <c r="E52" s="23" t="s">
        <v>126</v>
      </c>
      <c r="F52" s="9" t="s">
        <v>103</v>
      </c>
      <c r="G52" s="11">
        <v>45307</v>
      </c>
      <c r="H52" s="9" t="s">
        <v>104</v>
      </c>
      <c r="I52" s="9">
        <v>3</v>
      </c>
      <c r="J52" s="16" t="e">
        <f>CONCATENATE(+#REF!,"E")</f>
        <v>#REF!</v>
      </c>
      <c r="K52" s="12" t="s">
        <v>185</v>
      </c>
      <c r="L52" s="9" t="s">
        <v>106</v>
      </c>
      <c r="M52" s="9" t="s">
        <v>107</v>
      </c>
      <c r="N52" s="9">
        <v>9142407</v>
      </c>
      <c r="S52" s="9"/>
    </row>
    <row r="53" spans="1:23" s="13" customFormat="1" ht="50.1" customHeight="1" x14ac:dyDescent="0.25">
      <c r="A53" s="9" t="s">
        <v>188</v>
      </c>
      <c r="B53" s="12" t="s">
        <v>15</v>
      </c>
      <c r="C53" s="9">
        <v>52969518</v>
      </c>
      <c r="D53" s="9" t="s">
        <v>189</v>
      </c>
      <c r="E53" s="23" t="s">
        <v>126</v>
      </c>
      <c r="F53" s="9" t="s">
        <v>103</v>
      </c>
      <c r="G53" s="11">
        <v>45307</v>
      </c>
      <c r="H53" s="9" t="s">
        <v>104</v>
      </c>
      <c r="I53" s="9">
        <v>3</v>
      </c>
      <c r="J53" s="16" t="e">
        <f>CONCATENATE(+#REF!,"E")</f>
        <v>#REF!</v>
      </c>
      <c r="K53" s="12" t="s">
        <v>185</v>
      </c>
      <c r="L53" s="9" t="s">
        <v>106</v>
      </c>
      <c r="M53" s="9" t="s">
        <v>107</v>
      </c>
      <c r="N53" s="9">
        <v>9135816</v>
      </c>
      <c r="S53" s="9"/>
    </row>
    <row r="54" spans="1:23" s="13" customFormat="1" ht="50.1" customHeight="1" x14ac:dyDescent="0.25">
      <c r="A54" s="9" t="s">
        <v>190</v>
      </c>
      <c r="B54" s="12" t="s">
        <v>15</v>
      </c>
      <c r="C54" s="9">
        <v>1075293846</v>
      </c>
      <c r="D54" s="9" t="s">
        <v>191</v>
      </c>
      <c r="E54" s="23" t="s">
        <v>192</v>
      </c>
      <c r="F54" s="9" t="s">
        <v>103</v>
      </c>
      <c r="G54" s="11">
        <v>45307</v>
      </c>
      <c r="H54" s="9" t="s">
        <v>104</v>
      </c>
      <c r="I54" s="9">
        <v>3</v>
      </c>
      <c r="J54" s="16" t="e">
        <f>CONCATENATE(+#REF!,"E")</f>
        <v>#REF!</v>
      </c>
      <c r="K54" s="12" t="s">
        <v>185</v>
      </c>
      <c r="L54" s="9" t="s">
        <v>106</v>
      </c>
      <c r="M54" s="9" t="s">
        <v>107</v>
      </c>
      <c r="N54" s="9">
        <v>9108440</v>
      </c>
      <c r="S54" s="9"/>
    </row>
    <row r="55" spans="1:23" s="13" customFormat="1" ht="50.1" customHeight="1" x14ac:dyDescent="0.25">
      <c r="A55" s="9" t="s">
        <v>193</v>
      </c>
      <c r="B55" s="12" t="s">
        <v>15</v>
      </c>
      <c r="C55" s="9">
        <v>1049619319</v>
      </c>
      <c r="D55" s="16" t="s">
        <v>194</v>
      </c>
      <c r="E55" s="23" t="s">
        <v>126</v>
      </c>
      <c r="F55" s="9" t="s">
        <v>103</v>
      </c>
      <c r="G55" s="11">
        <v>45307</v>
      </c>
      <c r="H55" s="9" t="s">
        <v>104</v>
      </c>
      <c r="I55" s="9">
        <v>3</v>
      </c>
      <c r="J55" s="16" t="e">
        <f>CONCATENATE(+#REF!,"E")</f>
        <v>#REF!</v>
      </c>
      <c r="K55" s="12" t="s">
        <v>185</v>
      </c>
      <c r="L55" s="9" t="s">
        <v>106</v>
      </c>
      <c r="M55" s="9" t="s">
        <v>107</v>
      </c>
      <c r="N55" s="9">
        <v>9139035</v>
      </c>
      <c r="S55" s="9"/>
    </row>
    <row r="56" spans="1:23" s="13" customFormat="1" ht="50.1" customHeight="1" x14ac:dyDescent="0.25">
      <c r="A56" s="9" t="s">
        <v>195</v>
      </c>
      <c r="B56" s="12" t="s">
        <v>15</v>
      </c>
      <c r="C56" s="9">
        <v>1091660311</v>
      </c>
      <c r="D56" s="9" t="s">
        <v>196</v>
      </c>
      <c r="E56" s="23" t="s">
        <v>197</v>
      </c>
      <c r="F56" s="9" t="s">
        <v>103</v>
      </c>
      <c r="G56" s="11">
        <v>45307</v>
      </c>
      <c r="H56" s="9" t="s">
        <v>104</v>
      </c>
      <c r="I56" s="9">
        <v>3</v>
      </c>
      <c r="J56" s="16" t="e">
        <f>CONCATENATE(+#REF!,"E")</f>
        <v>#REF!</v>
      </c>
      <c r="K56" s="12" t="s">
        <v>185</v>
      </c>
      <c r="L56" s="9" t="s">
        <v>106</v>
      </c>
      <c r="M56" s="9" t="s">
        <v>107</v>
      </c>
      <c r="N56" s="9">
        <v>9139035</v>
      </c>
    </row>
    <row r="57" spans="1:23" s="13" customFormat="1" ht="50.1" customHeight="1" x14ac:dyDescent="0.25">
      <c r="A57" s="9" t="s">
        <v>198</v>
      </c>
      <c r="B57" s="12" t="s">
        <v>15</v>
      </c>
      <c r="C57" s="9">
        <v>1010167959</v>
      </c>
      <c r="D57" s="9" t="s">
        <v>199</v>
      </c>
      <c r="E57" s="23" t="s">
        <v>126</v>
      </c>
      <c r="F57" s="9" t="s">
        <v>103</v>
      </c>
      <c r="G57" s="11">
        <v>45307</v>
      </c>
      <c r="H57" s="9" t="s">
        <v>104</v>
      </c>
      <c r="I57" s="9">
        <v>3</v>
      </c>
      <c r="J57" s="16" t="e">
        <f>CONCATENATE(+#REF!,"E")</f>
        <v>#REF!</v>
      </c>
      <c r="K57" s="12" t="s">
        <v>185</v>
      </c>
      <c r="L57" s="9" t="s">
        <v>106</v>
      </c>
      <c r="M57" s="9" t="s">
        <v>107</v>
      </c>
      <c r="N57" s="9">
        <v>9139035</v>
      </c>
    </row>
    <row r="58" spans="1:23" s="13" customFormat="1" ht="50.1" customHeight="1" x14ac:dyDescent="0.25">
      <c r="A58" s="9" t="s">
        <v>200</v>
      </c>
      <c r="B58" s="12" t="s">
        <v>118</v>
      </c>
      <c r="C58" s="9">
        <v>1098739269</v>
      </c>
      <c r="D58" s="9" t="s">
        <v>201</v>
      </c>
      <c r="E58" s="23" t="s">
        <v>147</v>
      </c>
      <c r="F58" s="9" t="s">
        <v>103</v>
      </c>
      <c r="G58" s="11">
        <v>45307</v>
      </c>
      <c r="H58" s="9" t="s">
        <v>104</v>
      </c>
      <c r="I58" s="9">
        <v>3</v>
      </c>
      <c r="J58" s="16" t="e">
        <f>CONCATENATE(+#REF!,"E")</f>
        <v>#REF!</v>
      </c>
      <c r="K58" s="12" t="s">
        <v>185</v>
      </c>
      <c r="L58" s="9" t="s">
        <v>106</v>
      </c>
      <c r="M58" s="9" t="s">
        <v>107</v>
      </c>
      <c r="N58" s="9">
        <v>9325490</v>
      </c>
      <c r="O58" s="17"/>
      <c r="P58" s="17"/>
      <c r="Q58" s="17"/>
      <c r="R58" s="17"/>
      <c r="S58" s="17"/>
      <c r="T58" s="17"/>
      <c r="U58" s="17"/>
      <c r="V58" s="17"/>
      <c r="W58" s="17"/>
    </row>
    <row r="59" spans="1:23" s="13" customFormat="1" ht="50.1" customHeight="1" x14ac:dyDescent="0.25">
      <c r="A59" s="9" t="s">
        <v>202</v>
      </c>
      <c r="B59" s="12" t="s">
        <v>15</v>
      </c>
      <c r="C59" s="9">
        <v>63527981</v>
      </c>
      <c r="D59" s="9" t="s">
        <v>203</v>
      </c>
      <c r="E59" s="23" t="s">
        <v>126</v>
      </c>
      <c r="F59" s="9" t="s">
        <v>103</v>
      </c>
      <c r="G59" s="11">
        <v>45307</v>
      </c>
      <c r="H59" s="9" t="s">
        <v>104</v>
      </c>
      <c r="I59" s="9">
        <v>3</v>
      </c>
      <c r="J59" s="16" t="e">
        <f>CONCATENATE(+#REF!,"E")</f>
        <v>#REF!</v>
      </c>
      <c r="K59" s="12" t="s">
        <v>185</v>
      </c>
      <c r="L59" s="9" t="s">
        <v>106</v>
      </c>
      <c r="M59" s="9" t="s">
        <v>107</v>
      </c>
      <c r="N59" s="9">
        <v>9139035</v>
      </c>
    </row>
    <row r="60" spans="1:23" s="13" customFormat="1" ht="50.1" customHeight="1" x14ac:dyDescent="0.25">
      <c r="A60" s="9" t="s">
        <v>204</v>
      </c>
      <c r="B60" s="12" t="s">
        <v>15</v>
      </c>
      <c r="C60" s="9">
        <v>1085247861</v>
      </c>
      <c r="D60" s="9" t="s">
        <v>205</v>
      </c>
      <c r="E60" s="23" t="s">
        <v>147</v>
      </c>
      <c r="F60" s="9" t="s">
        <v>103</v>
      </c>
      <c r="G60" s="11">
        <v>45307</v>
      </c>
      <c r="H60" s="9" t="s">
        <v>104</v>
      </c>
      <c r="I60" s="9">
        <v>3</v>
      </c>
      <c r="J60" s="16" t="e">
        <f>CONCATENATE(+#REF!,"E")</f>
        <v>#REF!</v>
      </c>
      <c r="K60" s="12" t="s">
        <v>185</v>
      </c>
      <c r="L60" s="9" t="s">
        <v>106</v>
      </c>
      <c r="M60" s="9" t="s">
        <v>107</v>
      </c>
      <c r="N60" s="9">
        <v>9135816</v>
      </c>
    </row>
    <row r="61" spans="1:23" s="13" customFormat="1" ht="50.1" customHeight="1" x14ac:dyDescent="0.25">
      <c r="A61" s="9" t="s">
        <v>206</v>
      </c>
      <c r="B61" s="12" t="s">
        <v>15</v>
      </c>
      <c r="C61" s="9">
        <v>91520047</v>
      </c>
      <c r="D61" s="9" t="s">
        <v>207</v>
      </c>
      <c r="E61" s="23" t="s">
        <v>208</v>
      </c>
      <c r="F61" s="9" t="s">
        <v>103</v>
      </c>
      <c r="G61" s="11">
        <v>45307</v>
      </c>
      <c r="H61" s="9" t="s">
        <v>104</v>
      </c>
      <c r="I61" s="9">
        <v>3</v>
      </c>
      <c r="J61" s="16" t="e">
        <f>CONCATENATE(+#REF!,"E")</f>
        <v>#REF!</v>
      </c>
      <c r="K61" s="12" t="s">
        <v>185</v>
      </c>
      <c r="L61" s="9" t="s">
        <v>106</v>
      </c>
      <c r="M61" s="9" t="s">
        <v>107</v>
      </c>
      <c r="N61" s="9">
        <v>9135816</v>
      </c>
      <c r="S61" s="9"/>
    </row>
    <row r="62" spans="1:23" s="13" customFormat="1" ht="50.1" customHeight="1" x14ac:dyDescent="0.25">
      <c r="A62" s="9" t="s">
        <v>209</v>
      </c>
      <c r="B62" s="12" t="s">
        <v>15</v>
      </c>
      <c r="C62" s="9">
        <v>10297751</v>
      </c>
      <c r="D62" s="9" t="s">
        <v>210</v>
      </c>
      <c r="E62" s="23" t="s">
        <v>211</v>
      </c>
      <c r="F62" s="9" t="s">
        <v>103</v>
      </c>
      <c r="G62" s="11">
        <v>45307</v>
      </c>
      <c r="H62" s="9" t="s">
        <v>104</v>
      </c>
      <c r="I62" s="9">
        <v>3</v>
      </c>
      <c r="J62" s="16" t="e">
        <f>CONCATENATE(+#REF!,"E")</f>
        <v>#REF!</v>
      </c>
      <c r="K62" s="12" t="s">
        <v>185</v>
      </c>
      <c r="L62" s="9" t="s">
        <v>106</v>
      </c>
      <c r="M62" s="9" t="s">
        <v>107</v>
      </c>
      <c r="N62" s="9">
        <v>9135816</v>
      </c>
      <c r="S62" s="9"/>
    </row>
    <row r="63" spans="1:23" s="13" customFormat="1" ht="50.1" customHeight="1" x14ac:dyDescent="0.25">
      <c r="A63" s="9" t="s">
        <v>212</v>
      </c>
      <c r="B63" s="12" t="s">
        <v>15</v>
      </c>
      <c r="C63" s="9">
        <v>1026267749</v>
      </c>
      <c r="D63" s="9" t="s">
        <v>213</v>
      </c>
      <c r="E63" s="23" t="s">
        <v>147</v>
      </c>
      <c r="F63" s="9" t="s">
        <v>103</v>
      </c>
      <c r="G63" s="11">
        <v>45307</v>
      </c>
      <c r="H63" s="9" t="s">
        <v>104</v>
      </c>
      <c r="I63" s="9">
        <v>3</v>
      </c>
      <c r="J63" s="16" t="e">
        <f>CONCATENATE(+#REF!,"E")</f>
        <v>#REF!</v>
      </c>
      <c r="K63" s="12" t="s">
        <v>185</v>
      </c>
      <c r="L63" s="9" t="s">
        <v>106</v>
      </c>
      <c r="M63" s="9" t="s">
        <v>107</v>
      </c>
      <c r="N63" s="9">
        <v>9135816</v>
      </c>
      <c r="S63" s="9"/>
    </row>
    <row r="64" spans="1:23" s="13" customFormat="1" ht="50.1" customHeight="1" x14ac:dyDescent="0.25">
      <c r="A64" s="9" t="s">
        <v>214</v>
      </c>
      <c r="B64" s="12" t="s">
        <v>15</v>
      </c>
      <c r="C64" s="9">
        <v>1098782789</v>
      </c>
      <c r="D64" s="9" t="s">
        <v>215</v>
      </c>
      <c r="E64" s="23" t="s">
        <v>147</v>
      </c>
      <c r="F64" s="9" t="s">
        <v>103</v>
      </c>
      <c r="G64" s="11">
        <v>45307</v>
      </c>
      <c r="H64" s="9" t="s">
        <v>104</v>
      </c>
      <c r="I64" s="9">
        <v>3</v>
      </c>
      <c r="J64" s="16" t="e">
        <f>CONCATENATE(+#REF!,"E")</f>
        <v>#REF!</v>
      </c>
      <c r="K64" s="12" t="s">
        <v>185</v>
      </c>
      <c r="L64" s="9" t="s">
        <v>106</v>
      </c>
      <c r="M64" s="9" t="s">
        <v>107</v>
      </c>
      <c r="N64" s="9">
        <v>9325490</v>
      </c>
    </row>
    <row r="65" spans="1:23" s="13" customFormat="1" ht="50.1" customHeight="1" x14ac:dyDescent="0.25">
      <c r="A65" s="9" t="s">
        <v>216</v>
      </c>
      <c r="B65" s="12" t="s">
        <v>15</v>
      </c>
      <c r="C65" s="9">
        <v>13740129</v>
      </c>
      <c r="D65" s="9" t="s">
        <v>217</v>
      </c>
      <c r="E65" s="23" t="s">
        <v>218</v>
      </c>
      <c r="F65" s="9" t="s">
        <v>103</v>
      </c>
      <c r="G65" s="11">
        <v>45307</v>
      </c>
      <c r="H65" s="9" t="s">
        <v>104</v>
      </c>
      <c r="I65" s="9">
        <v>3</v>
      </c>
      <c r="J65" s="16" t="e">
        <f>CONCATENATE(+#REF!,"E")</f>
        <v>#REF!</v>
      </c>
      <c r="K65" s="12" t="s">
        <v>185</v>
      </c>
      <c r="L65" s="9" t="s">
        <v>106</v>
      </c>
      <c r="M65" s="9" t="s">
        <v>107</v>
      </c>
      <c r="N65" s="9">
        <v>9186547</v>
      </c>
      <c r="O65" s="17"/>
      <c r="P65" s="17"/>
      <c r="Q65" s="17"/>
      <c r="R65" s="17"/>
      <c r="S65" s="9"/>
      <c r="U65" s="17"/>
      <c r="V65" s="17"/>
      <c r="W65" s="17"/>
    </row>
    <row r="66" spans="1:23" s="13" customFormat="1" ht="50.1" customHeight="1" x14ac:dyDescent="0.25">
      <c r="A66" s="9" t="s">
        <v>219</v>
      </c>
      <c r="B66" s="12" t="s">
        <v>15</v>
      </c>
      <c r="C66" s="9">
        <v>1012387614</v>
      </c>
      <c r="D66" s="16" t="s">
        <v>220</v>
      </c>
      <c r="E66" s="23" t="s">
        <v>102</v>
      </c>
      <c r="F66" s="9" t="s">
        <v>103</v>
      </c>
      <c r="G66" s="11">
        <v>45307</v>
      </c>
      <c r="H66" s="9" t="s">
        <v>104</v>
      </c>
      <c r="I66" s="9">
        <v>3</v>
      </c>
      <c r="J66" s="16" t="e">
        <f>CONCATENATE(+#REF!,"E")</f>
        <v>#REF!</v>
      </c>
      <c r="K66" s="12" t="s">
        <v>185</v>
      </c>
      <c r="L66" s="9" t="s">
        <v>106</v>
      </c>
      <c r="M66" s="9" t="s">
        <v>107</v>
      </c>
      <c r="N66" s="9">
        <v>9119211</v>
      </c>
      <c r="S66" s="9"/>
    </row>
    <row r="67" spans="1:23" s="13" customFormat="1" ht="50.1" customHeight="1" x14ac:dyDescent="0.25">
      <c r="A67" s="9" t="s">
        <v>221</v>
      </c>
      <c r="B67" s="12" t="s">
        <v>15</v>
      </c>
      <c r="C67" s="9">
        <v>37514608</v>
      </c>
      <c r="D67" s="9" t="s">
        <v>222</v>
      </c>
      <c r="E67" s="23" t="s">
        <v>147</v>
      </c>
      <c r="F67" s="9" t="s">
        <v>103</v>
      </c>
      <c r="G67" s="11">
        <v>45307</v>
      </c>
      <c r="H67" s="9" t="s">
        <v>104</v>
      </c>
      <c r="I67" s="9">
        <v>3</v>
      </c>
      <c r="J67" s="16" t="e">
        <f>CONCATENATE(+#REF!,"E")</f>
        <v>#REF!</v>
      </c>
      <c r="K67" s="12" t="s">
        <v>185</v>
      </c>
      <c r="L67" s="9" t="s">
        <v>106</v>
      </c>
      <c r="M67" s="9" t="s">
        <v>107</v>
      </c>
      <c r="N67" s="9">
        <v>9142407</v>
      </c>
      <c r="S67" s="9"/>
    </row>
    <row r="68" spans="1:23" s="13" customFormat="1" ht="50.1" customHeight="1" x14ac:dyDescent="0.25">
      <c r="A68" s="9" t="s">
        <v>223</v>
      </c>
      <c r="B68" s="12" t="s">
        <v>15</v>
      </c>
      <c r="C68" s="9">
        <v>1075286382</v>
      </c>
      <c r="D68" s="9" t="s">
        <v>224</v>
      </c>
      <c r="E68" s="23" t="s">
        <v>126</v>
      </c>
      <c r="F68" s="9" t="s">
        <v>103</v>
      </c>
      <c r="G68" s="11">
        <v>45307</v>
      </c>
      <c r="H68" s="9" t="s">
        <v>104</v>
      </c>
      <c r="I68" s="9">
        <v>3</v>
      </c>
      <c r="J68" s="16" t="e">
        <f>CONCATENATE(+#REF!,"E")</f>
        <v>#REF!</v>
      </c>
      <c r="K68" s="12" t="s">
        <v>185</v>
      </c>
      <c r="L68" s="9" t="s">
        <v>106</v>
      </c>
      <c r="M68" s="9" t="s">
        <v>107</v>
      </c>
      <c r="N68" s="9">
        <v>9135816</v>
      </c>
    </row>
    <row r="69" spans="1:23" s="13" customFormat="1" ht="50.1" customHeight="1" x14ac:dyDescent="0.25">
      <c r="A69" s="9" t="s">
        <v>225</v>
      </c>
      <c r="B69" s="12" t="s">
        <v>15</v>
      </c>
      <c r="C69" s="9">
        <v>1098697791</v>
      </c>
      <c r="D69" s="9" t="s">
        <v>226</v>
      </c>
      <c r="E69" s="23" t="s">
        <v>227</v>
      </c>
      <c r="F69" s="9" t="s">
        <v>103</v>
      </c>
      <c r="G69" s="11">
        <v>45307</v>
      </c>
      <c r="H69" s="9" t="s">
        <v>104</v>
      </c>
      <c r="I69" s="9">
        <v>3</v>
      </c>
      <c r="J69" s="16" t="e">
        <f>CONCATENATE(+#REF!,"E")</f>
        <v>#REF!</v>
      </c>
      <c r="K69" s="12" t="s">
        <v>185</v>
      </c>
      <c r="L69" s="9" t="s">
        <v>106</v>
      </c>
      <c r="M69" s="9" t="s">
        <v>107</v>
      </c>
      <c r="N69" s="9">
        <v>9135816</v>
      </c>
      <c r="S69" s="9"/>
    </row>
    <row r="70" spans="1:23" s="13" customFormat="1" ht="50.1" customHeight="1" x14ac:dyDescent="0.25">
      <c r="A70" s="9" t="s">
        <v>228</v>
      </c>
      <c r="B70" s="12" t="s">
        <v>15</v>
      </c>
      <c r="C70" s="9">
        <v>13720871</v>
      </c>
      <c r="D70" s="9" t="s">
        <v>229</v>
      </c>
      <c r="E70" s="23" t="s">
        <v>227</v>
      </c>
      <c r="F70" s="9" t="s">
        <v>103</v>
      </c>
      <c r="G70" s="11">
        <v>45307</v>
      </c>
      <c r="H70" s="9" t="s">
        <v>104</v>
      </c>
      <c r="I70" s="9">
        <v>3</v>
      </c>
      <c r="J70" s="16" t="e">
        <f>CONCATENATE(+#REF!,"E")</f>
        <v>#REF!</v>
      </c>
      <c r="K70" s="12" t="s">
        <v>185</v>
      </c>
      <c r="L70" s="9" t="s">
        <v>106</v>
      </c>
      <c r="M70" s="9" t="s">
        <v>107</v>
      </c>
      <c r="N70" s="9">
        <v>9186547</v>
      </c>
      <c r="S70" s="9"/>
    </row>
    <row r="71" spans="1:23" s="13" customFormat="1" ht="50.1" customHeight="1" x14ac:dyDescent="0.25">
      <c r="A71" s="9" t="s">
        <v>230</v>
      </c>
      <c r="B71" s="12" t="s">
        <v>15</v>
      </c>
      <c r="C71" s="9">
        <v>1023961699</v>
      </c>
      <c r="D71" s="9" t="s">
        <v>231</v>
      </c>
      <c r="E71" s="23" t="s">
        <v>232</v>
      </c>
      <c r="F71" s="9" t="s">
        <v>103</v>
      </c>
      <c r="G71" s="11">
        <v>45307</v>
      </c>
      <c r="H71" s="9" t="s">
        <v>104</v>
      </c>
      <c r="I71" s="9">
        <v>3</v>
      </c>
      <c r="J71" s="16" t="e">
        <f>CONCATENATE(+#REF!,"E")</f>
        <v>#REF!</v>
      </c>
      <c r="K71" s="12" t="s">
        <v>185</v>
      </c>
      <c r="L71" s="9" t="s">
        <v>106</v>
      </c>
      <c r="M71" s="9" t="s">
        <v>107</v>
      </c>
      <c r="N71" s="9">
        <v>9135816</v>
      </c>
    </row>
    <row r="72" spans="1:23" s="13" customFormat="1" ht="50.1" customHeight="1" x14ac:dyDescent="0.25">
      <c r="A72" s="9" t="s">
        <v>233</v>
      </c>
      <c r="B72" s="12" t="s">
        <v>15</v>
      </c>
      <c r="C72" s="9">
        <v>1098733967</v>
      </c>
      <c r="D72" s="9" t="s">
        <v>234</v>
      </c>
      <c r="E72" s="23" t="s">
        <v>232</v>
      </c>
      <c r="F72" s="9" t="s">
        <v>103</v>
      </c>
      <c r="G72" s="11">
        <v>45307</v>
      </c>
      <c r="H72" s="9" t="s">
        <v>104</v>
      </c>
      <c r="I72" s="9">
        <v>3</v>
      </c>
      <c r="J72" s="16" t="e">
        <f>CONCATENATE(+#REF!,"E")</f>
        <v>#REF!</v>
      </c>
      <c r="K72" s="12" t="s">
        <v>185</v>
      </c>
      <c r="L72" s="9" t="s">
        <v>106</v>
      </c>
      <c r="M72" s="9" t="s">
        <v>107</v>
      </c>
      <c r="N72" s="9">
        <v>9139035</v>
      </c>
    </row>
    <row r="73" spans="1:23" s="13" customFormat="1" ht="50.1" customHeight="1" x14ac:dyDescent="0.25">
      <c r="A73" s="9" t="s">
        <v>235</v>
      </c>
      <c r="B73" s="12" t="s">
        <v>15</v>
      </c>
      <c r="C73" s="9">
        <v>1072699593</v>
      </c>
      <c r="D73" s="9" t="s">
        <v>236</v>
      </c>
      <c r="E73" s="23" t="s">
        <v>232</v>
      </c>
      <c r="F73" s="9" t="s">
        <v>103</v>
      </c>
      <c r="G73" s="11">
        <v>45307</v>
      </c>
      <c r="H73" s="9" t="s">
        <v>104</v>
      </c>
      <c r="I73" s="9">
        <v>3</v>
      </c>
      <c r="J73" s="16" t="e">
        <f>CONCATENATE(+#REF!,"E")</f>
        <v>#REF!</v>
      </c>
      <c r="K73" s="12" t="s">
        <v>185</v>
      </c>
      <c r="L73" s="9" t="s">
        <v>106</v>
      </c>
      <c r="M73" s="9" t="s">
        <v>107</v>
      </c>
      <c r="N73" s="9">
        <v>9142407</v>
      </c>
    </row>
    <row r="74" spans="1:23" s="13" customFormat="1" ht="50.1" customHeight="1" x14ac:dyDescent="0.25">
      <c r="A74" s="9" t="s">
        <v>237</v>
      </c>
      <c r="B74" s="12" t="s">
        <v>15</v>
      </c>
      <c r="C74" s="9">
        <v>1007555164</v>
      </c>
      <c r="D74" s="16" t="s">
        <v>238</v>
      </c>
      <c r="E74" s="23" t="s">
        <v>147</v>
      </c>
      <c r="F74" s="9" t="s">
        <v>103</v>
      </c>
      <c r="G74" s="11">
        <v>45307</v>
      </c>
      <c r="H74" s="9" t="s">
        <v>104</v>
      </c>
      <c r="I74" s="9">
        <v>3</v>
      </c>
      <c r="J74" s="16" t="e">
        <f>CONCATENATE(+#REF!,"E")</f>
        <v>#REF!</v>
      </c>
      <c r="K74" s="12" t="s">
        <v>185</v>
      </c>
      <c r="L74" s="9" t="s">
        <v>106</v>
      </c>
      <c r="M74" s="9" t="s">
        <v>107</v>
      </c>
      <c r="N74" s="9">
        <v>9139035</v>
      </c>
      <c r="S74" s="9"/>
    </row>
    <row r="75" spans="1:23" s="13" customFormat="1" ht="50.1" customHeight="1" x14ac:dyDescent="0.25">
      <c r="A75" s="9" t="s">
        <v>239</v>
      </c>
      <c r="B75" s="12" t="s">
        <v>118</v>
      </c>
      <c r="C75" s="9">
        <v>1143327261</v>
      </c>
      <c r="D75" s="9" t="s">
        <v>240</v>
      </c>
      <c r="E75" s="23" t="s">
        <v>102</v>
      </c>
      <c r="F75" s="9" t="s">
        <v>103</v>
      </c>
      <c r="G75" s="11">
        <v>45443</v>
      </c>
      <c r="H75" s="9" t="s">
        <v>104</v>
      </c>
      <c r="I75" s="9">
        <v>3</v>
      </c>
      <c r="J75" s="16" t="e">
        <f>CONCATENATE(+#REF!,"E")</f>
        <v>#REF!</v>
      </c>
      <c r="K75" s="12" t="s">
        <v>185</v>
      </c>
      <c r="L75" s="9" t="s">
        <v>106</v>
      </c>
      <c r="M75" s="9" t="s">
        <v>107</v>
      </c>
      <c r="N75" s="9" t="s">
        <v>167</v>
      </c>
      <c r="S75" s="9"/>
    </row>
    <row r="76" spans="1:23" s="13" customFormat="1" ht="50.1" customHeight="1" x14ac:dyDescent="0.25">
      <c r="A76" s="9" t="s">
        <v>241</v>
      </c>
      <c r="B76" s="12" t="s">
        <v>15</v>
      </c>
      <c r="C76" s="9">
        <v>63540751</v>
      </c>
      <c r="D76" s="16" t="s">
        <v>242</v>
      </c>
      <c r="E76" s="23" t="s">
        <v>232</v>
      </c>
      <c r="F76" s="9" t="s">
        <v>103</v>
      </c>
      <c r="G76" s="11">
        <v>45444</v>
      </c>
      <c r="H76" s="9" t="s">
        <v>104</v>
      </c>
      <c r="I76" s="9">
        <v>3</v>
      </c>
      <c r="J76" s="16" t="e">
        <f>CONCATENATE(+#REF!,"E")</f>
        <v>#REF!</v>
      </c>
      <c r="K76" s="12" t="s">
        <v>185</v>
      </c>
      <c r="L76" s="9" t="s">
        <v>106</v>
      </c>
      <c r="M76" s="9" t="s">
        <v>107</v>
      </c>
      <c r="N76" s="9">
        <v>9139035</v>
      </c>
      <c r="S76" s="9"/>
    </row>
    <row r="77" spans="1:23" s="13" customFormat="1" ht="50.1" customHeight="1" x14ac:dyDescent="0.25">
      <c r="A77" s="9" t="s">
        <v>243</v>
      </c>
      <c r="B77" s="12" t="s">
        <v>15</v>
      </c>
      <c r="C77" s="9">
        <v>80777836</v>
      </c>
      <c r="D77" s="26" t="s">
        <v>244</v>
      </c>
      <c r="E77" s="9" t="s">
        <v>147</v>
      </c>
      <c r="F77" s="9" t="s">
        <v>103</v>
      </c>
      <c r="G77" s="11">
        <v>45495</v>
      </c>
      <c r="H77" s="9" t="s">
        <v>104</v>
      </c>
      <c r="I77" s="9">
        <v>3</v>
      </c>
      <c r="J77" s="16" t="e">
        <f>CONCATENATE(+#REF!,"E")</f>
        <v>#REF!</v>
      </c>
      <c r="K77" s="12" t="s">
        <v>185</v>
      </c>
      <c r="L77" s="9" t="s">
        <v>106</v>
      </c>
      <c r="M77" s="9" t="s">
        <v>107</v>
      </c>
      <c r="N77" s="9">
        <v>9325490</v>
      </c>
      <c r="S77" s="9"/>
    </row>
    <row r="78" spans="1:23" s="22" customFormat="1" ht="50.1" customHeight="1" x14ac:dyDescent="0.25">
      <c r="A78" s="15" t="s">
        <v>245</v>
      </c>
      <c r="B78" s="15" t="s">
        <v>15</v>
      </c>
      <c r="C78" s="15">
        <v>1018455383</v>
      </c>
      <c r="D78" s="15" t="s">
        <v>246</v>
      </c>
      <c r="E78" s="15" t="s">
        <v>247</v>
      </c>
      <c r="F78" s="15" t="s">
        <v>103</v>
      </c>
      <c r="G78" s="25">
        <v>45512</v>
      </c>
      <c r="H78" s="15" t="s">
        <v>104</v>
      </c>
      <c r="I78" s="15">
        <v>3</v>
      </c>
      <c r="J78" s="15" t="s">
        <v>248</v>
      </c>
      <c r="K78" s="19" t="s">
        <v>249</v>
      </c>
      <c r="L78" s="9" t="s">
        <v>106</v>
      </c>
      <c r="M78" s="15" t="s">
        <v>250</v>
      </c>
      <c r="N78" s="15"/>
    </row>
    <row r="79" spans="1:23" s="22" customFormat="1" ht="50.1" customHeight="1" x14ac:dyDescent="0.25">
      <c r="A79" s="15" t="s">
        <v>251</v>
      </c>
      <c r="B79" s="15" t="s">
        <v>15</v>
      </c>
      <c r="C79" s="15">
        <v>80192577</v>
      </c>
      <c r="D79" s="15" t="s">
        <v>252</v>
      </c>
      <c r="E79" s="15" t="s">
        <v>253</v>
      </c>
      <c r="F79" s="15" t="s">
        <v>103</v>
      </c>
      <c r="G79" s="25">
        <v>45185</v>
      </c>
      <c r="H79" s="15" t="s">
        <v>104</v>
      </c>
      <c r="I79" s="15">
        <v>3</v>
      </c>
      <c r="J79" s="15" t="s">
        <v>254</v>
      </c>
      <c r="K79" s="19" t="s">
        <v>249</v>
      </c>
      <c r="L79" s="9" t="s">
        <v>106</v>
      </c>
      <c r="M79" s="15" t="s">
        <v>250</v>
      </c>
      <c r="N79" s="15"/>
    </row>
    <row r="80" spans="1:23" s="22" customFormat="1" ht="50.1" customHeight="1" x14ac:dyDescent="0.25">
      <c r="A80" s="15" t="s">
        <v>255</v>
      </c>
      <c r="B80" s="15" t="s">
        <v>15</v>
      </c>
      <c r="C80" s="15">
        <v>1098777543</v>
      </c>
      <c r="D80" s="15" t="s">
        <v>256</v>
      </c>
      <c r="E80" s="15" t="s">
        <v>247</v>
      </c>
      <c r="F80" s="15" t="s">
        <v>103</v>
      </c>
      <c r="G80" s="25">
        <v>45118</v>
      </c>
      <c r="H80" s="15" t="s">
        <v>104</v>
      </c>
      <c r="I80" s="15">
        <v>3</v>
      </c>
      <c r="J80" s="15" t="s">
        <v>248</v>
      </c>
      <c r="K80" s="19" t="s">
        <v>249</v>
      </c>
      <c r="L80" s="9" t="s">
        <v>106</v>
      </c>
      <c r="M80" s="15" t="s">
        <v>250</v>
      </c>
      <c r="N80" s="15"/>
    </row>
    <row r="81" spans="1:14" s="22" customFormat="1" ht="50.1" customHeight="1" x14ac:dyDescent="0.25">
      <c r="A81" s="15" t="s">
        <v>257</v>
      </c>
      <c r="B81" s="15" t="s">
        <v>15</v>
      </c>
      <c r="C81" s="15">
        <v>1075234956</v>
      </c>
      <c r="D81" s="15" t="s">
        <v>258</v>
      </c>
      <c r="E81" s="15" t="s">
        <v>259</v>
      </c>
      <c r="F81" s="15" t="s">
        <v>103</v>
      </c>
      <c r="G81" s="25">
        <v>45118</v>
      </c>
      <c r="H81" s="15" t="s">
        <v>104</v>
      </c>
      <c r="I81" s="15">
        <v>3</v>
      </c>
      <c r="J81" s="15" t="s">
        <v>260</v>
      </c>
      <c r="K81" s="19" t="s">
        <v>249</v>
      </c>
      <c r="L81" s="9" t="s">
        <v>106</v>
      </c>
      <c r="M81" s="15" t="s">
        <v>250</v>
      </c>
      <c r="N81" s="15"/>
    </row>
    <row r="82" spans="1:14" s="22" customFormat="1" ht="50.1" customHeight="1" x14ac:dyDescent="0.25">
      <c r="A82" s="15" t="s">
        <v>261</v>
      </c>
      <c r="B82" s="15" t="s">
        <v>15</v>
      </c>
      <c r="C82" s="15">
        <v>7729226</v>
      </c>
      <c r="D82" s="15" t="s">
        <v>262</v>
      </c>
      <c r="E82" s="15" t="s">
        <v>263</v>
      </c>
      <c r="F82" s="15" t="s">
        <v>103</v>
      </c>
      <c r="G82" s="25">
        <v>45158</v>
      </c>
      <c r="H82" s="15" t="s">
        <v>104</v>
      </c>
      <c r="I82" s="15">
        <v>3</v>
      </c>
      <c r="J82" s="15" t="s">
        <v>264</v>
      </c>
      <c r="K82" s="19" t="s">
        <v>249</v>
      </c>
      <c r="L82" s="9" t="s">
        <v>106</v>
      </c>
      <c r="M82" s="15" t="s">
        <v>250</v>
      </c>
      <c r="N82" s="15"/>
    </row>
    <row r="83" spans="1:14" s="22" customFormat="1" ht="50.1" customHeight="1" x14ac:dyDescent="0.25">
      <c r="A83" s="15" t="s">
        <v>265</v>
      </c>
      <c r="B83" s="15" t="s">
        <v>15</v>
      </c>
      <c r="C83" s="15">
        <v>1130585053</v>
      </c>
      <c r="D83" s="15" t="s">
        <v>266</v>
      </c>
      <c r="E83" s="15" t="s">
        <v>267</v>
      </c>
      <c r="F83" s="15" t="s">
        <v>103</v>
      </c>
      <c r="G83" s="25">
        <v>45185</v>
      </c>
      <c r="H83" s="15" t="s">
        <v>104</v>
      </c>
      <c r="I83" s="15">
        <v>3</v>
      </c>
      <c r="J83" s="15" t="s">
        <v>268</v>
      </c>
      <c r="K83" s="19" t="s">
        <v>249</v>
      </c>
      <c r="L83" s="9" t="s">
        <v>106</v>
      </c>
      <c r="M83" s="15" t="s">
        <v>250</v>
      </c>
      <c r="N83" s="15"/>
    </row>
    <row r="84" spans="1:14" s="22" customFormat="1" ht="50.1" customHeight="1" x14ac:dyDescent="0.25">
      <c r="A84" s="15" t="s">
        <v>269</v>
      </c>
      <c r="B84" s="15" t="s">
        <v>15</v>
      </c>
      <c r="C84" s="15">
        <v>12126203</v>
      </c>
      <c r="D84" s="15" t="s">
        <v>270</v>
      </c>
      <c r="E84" s="15" t="s">
        <v>271</v>
      </c>
      <c r="F84" s="15" t="s">
        <v>103</v>
      </c>
      <c r="G84" s="25">
        <v>45185</v>
      </c>
      <c r="H84" s="15" t="s">
        <v>104</v>
      </c>
      <c r="I84" s="15">
        <v>3</v>
      </c>
      <c r="J84" s="15" t="s">
        <v>272</v>
      </c>
      <c r="K84" s="19" t="s">
        <v>249</v>
      </c>
      <c r="L84" s="9" t="s">
        <v>106</v>
      </c>
      <c r="M84" s="15" t="s">
        <v>250</v>
      </c>
      <c r="N84" s="15"/>
    </row>
    <row r="85" spans="1:14" s="22" customFormat="1" ht="50.1" customHeight="1" x14ac:dyDescent="0.25">
      <c r="A85" s="15" t="s">
        <v>273</v>
      </c>
      <c r="B85" s="15" t="s">
        <v>15</v>
      </c>
      <c r="C85" s="15">
        <v>79459664</v>
      </c>
      <c r="D85" s="15" t="s">
        <v>274</v>
      </c>
      <c r="E85" s="15" t="s">
        <v>271</v>
      </c>
      <c r="F85" s="15" t="s">
        <v>103</v>
      </c>
      <c r="G85" s="25">
        <v>45189</v>
      </c>
      <c r="H85" s="15" t="s">
        <v>104</v>
      </c>
      <c r="I85" s="15">
        <v>3</v>
      </c>
      <c r="J85" s="15" t="s">
        <v>272</v>
      </c>
      <c r="K85" s="19" t="s">
        <v>249</v>
      </c>
      <c r="L85" s="9" t="s">
        <v>106</v>
      </c>
      <c r="M85" s="15" t="s">
        <v>250</v>
      </c>
      <c r="N85" s="15"/>
    </row>
    <row r="86" spans="1:14" s="13" customFormat="1" ht="50.1" customHeight="1" x14ac:dyDescent="0.25">
      <c r="A86" s="27" t="s">
        <v>275</v>
      </c>
      <c r="B86" s="9" t="s">
        <v>15</v>
      </c>
      <c r="C86" s="9">
        <v>91285174</v>
      </c>
      <c r="D86" s="9" t="s">
        <v>276</v>
      </c>
      <c r="E86" s="9" t="s">
        <v>267</v>
      </c>
      <c r="F86" s="9" t="s">
        <v>103</v>
      </c>
      <c r="G86" s="11">
        <v>44744</v>
      </c>
      <c r="H86" s="9" t="s">
        <v>104</v>
      </c>
      <c r="I86" s="9">
        <v>3</v>
      </c>
      <c r="J86" s="9" t="s">
        <v>268</v>
      </c>
      <c r="K86" s="12" t="s">
        <v>249</v>
      </c>
      <c r="L86" s="9" t="s">
        <v>106</v>
      </c>
      <c r="M86" s="15" t="s">
        <v>250</v>
      </c>
      <c r="N86" s="9"/>
    </row>
    <row r="87" spans="1:14" s="22" customFormat="1" ht="50.1" customHeight="1" x14ac:dyDescent="0.25">
      <c r="A87" s="15" t="s">
        <v>277</v>
      </c>
      <c r="B87" s="15" t="s">
        <v>15</v>
      </c>
      <c r="C87" s="15">
        <v>80842868</v>
      </c>
      <c r="D87" s="15" t="s">
        <v>278</v>
      </c>
      <c r="E87" s="15" t="s">
        <v>253</v>
      </c>
      <c r="F87" s="15" t="s">
        <v>103</v>
      </c>
      <c r="G87" s="25">
        <v>45189</v>
      </c>
      <c r="H87" s="15" t="s">
        <v>104</v>
      </c>
      <c r="I87" s="15">
        <v>3</v>
      </c>
      <c r="J87" s="15" t="s">
        <v>254</v>
      </c>
      <c r="K87" s="19" t="s">
        <v>249</v>
      </c>
      <c r="L87" s="9" t="s">
        <v>106</v>
      </c>
      <c r="M87" s="15" t="s">
        <v>250</v>
      </c>
      <c r="N87" s="15"/>
    </row>
    <row r="88" spans="1:14" s="22" customFormat="1" ht="50.1" customHeight="1" x14ac:dyDescent="0.25">
      <c r="A88" s="15" t="s">
        <v>279</v>
      </c>
      <c r="B88" s="15" t="s">
        <v>15</v>
      </c>
      <c r="C88" s="15">
        <v>1098614427</v>
      </c>
      <c r="D88" s="15" t="s">
        <v>280</v>
      </c>
      <c r="E88" s="15" t="s">
        <v>267</v>
      </c>
      <c r="F88" s="15" t="s">
        <v>103</v>
      </c>
      <c r="G88" s="25">
        <v>45196</v>
      </c>
      <c r="H88" s="15" t="s">
        <v>104</v>
      </c>
      <c r="I88" s="15">
        <v>3</v>
      </c>
      <c r="J88" s="15" t="s">
        <v>268</v>
      </c>
      <c r="K88" s="19" t="s">
        <v>249</v>
      </c>
      <c r="L88" s="9" t="s">
        <v>106</v>
      </c>
      <c r="M88" s="15" t="s">
        <v>250</v>
      </c>
      <c r="N88" s="15"/>
    </row>
    <row r="89" spans="1:14" s="22" customFormat="1" ht="50.1" customHeight="1" x14ac:dyDescent="0.25">
      <c r="A89" s="15" t="s">
        <v>281</v>
      </c>
      <c r="B89" s="15" t="s">
        <v>15</v>
      </c>
      <c r="C89" s="15">
        <v>79902734</v>
      </c>
      <c r="D89" s="15" t="s">
        <v>282</v>
      </c>
      <c r="E89" s="15" t="s">
        <v>263</v>
      </c>
      <c r="F89" s="15" t="s">
        <v>103</v>
      </c>
      <c r="G89" s="25">
        <v>45134</v>
      </c>
      <c r="H89" s="15" t="s">
        <v>104</v>
      </c>
      <c r="I89" s="15">
        <v>3</v>
      </c>
      <c r="J89" s="15" t="s">
        <v>264</v>
      </c>
      <c r="K89" s="19" t="s">
        <v>249</v>
      </c>
      <c r="L89" s="9" t="s">
        <v>106</v>
      </c>
      <c r="M89" s="15" t="s">
        <v>250</v>
      </c>
      <c r="N89" s="15"/>
    </row>
    <row r="90" spans="1:14" s="22" customFormat="1" ht="50.1" customHeight="1" x14ac:dyDescent="0.25">
      <c r="A90" s="15" t="s">
        <v>283</v>
      </c>
      <c r="B90" s="15" t="s">
        <v>15</v>
      </c>
      <c r="C90" s="15">
        <v>87454560</v>
      </c>
      <c r="D90" s="15" t="s">
        <v>284</v>
      </c>
      <c r="E90" s="15" t="s">
        <v>253</v>
      </c>
      <c r="F90" s="15" t="s">
        <v>103</v>
      </c>
      <c r="G90" s="25">
        <v>45189</v>
      </c>
      <c r="H90" s="15" t="s">
        <v>104</v>
      </c>
      <c r="I90" s="15">
        <v>3</v>
      </c>
      <c r="J90" s="15" t="s">
        <v>254</v>
      </c>
      <c r="K90" s="19" t="s">
        <v>249</v>
      </c>
      <c r="L90" s="9" t="s">
        <v>106</v>
      </c>
      <c r="M90" s="15" t="s">
        <v>250</v>
      </c>
      <c r="N90" s="15"/>
    </row>
    <row r="91" spans="1:14" s="22" customFormat="1" ht="50.1" customHeight="1" x14ac:dyDescent="0.25">
      <c r="A91" s="15" t="s">
        <v>285</v>
      </c>
      <c r="B91" s="15" t="s">
        <v>15</v>
      </c>
      <c r="C91" s="15">
        <v>9659943</v>
      </c>
      <c r="D91" s="15" t="s">
        <v>286</v>
      </c>
      <c r="E91" s="15" t="s">
        <v>263</v>
      </c>
      <c r="F91" s="15" t="s">
        <v>103</v>
      </c>
      <c r="G91" s="25">
        <v>45185</v>
      </c>
      <c r="H91" s="15" t="s">
        <v>104</v>
      </c>
      <c r="I91" s="15">
        <v>3</v>
      </c>
      <c r="J91" s="15" t="s">
        <v>264</v>
      </c>
      <c r="K91" s="19" t="s">
        <v>249</v>
      </c>
      <c r="L91" s="9" t="s">
        <v>106</v>
      </c>
      <c r="M91" s="15" t="s">
        <v>250</v>
      </c>
      <c r="N91" s="15"/>
    </row>
    <row r="92" spans="1:14" s="22" customFormat="1" ht="50.1" customHeight="1" x14ac:dyDescent="0.25">
      <c r="A92" s="15" t="s">
        <v>287</v>
      </c>
      <c r="B92" s="15" t="s">
        <v>15</v>
      </c>
      <c r="C92" s="15">
        <v>91207387</v>
      </c>
      <c r="D92" s="15" t="s">
        <v>288</v>
      </c>
      <c r="E92" s="15" t="s">
        <v>263</v>
      </c>
      <c r="F92" s="15" t="s">
        <v>103</v>
      </c>
      <c r="G92" s="25">
        <v>45185</v>
      </c>
      <c r="H92" s="15" t="s">
        <v>104</v>
      </c>
      <c r="I92" s="15">
        <v>3</v>
      </c>
      <c r="J92" s="15" t="s">
        <v>264</v>
      </c>
      <c r="K92" s="19" t="s">
        <v>249</v>
      </c>
      <c r="L92" s="9" t="s">
        <v>106</v>
      </c>
      <c r="M92" s="15" t="s">
        <v>250</v>
      </c>
      <c r="N92" s="15"/>
    </row>
    <row r="93" spans="1:14" s="13" customFormat="1" ht="50.1" customHeight="1" x14ac:dyDescent="0.25">
      <c r="A93" s="27" t="s">
        <v>289</v>
      </c>
      <c r="B93" s="9" t="s">
        <v>15</v>
      </c>
      <c r="C93" s="9">
        <v>24228529</v>
      </c>
      <c r="D93" s="9" t="s">
        <v>290</v>
      </c>
      <c r="E93" s="9" t="s">
        <v>291</v>
      </c>
      <c r="F93" s="9" t="s">
        <v>103</v>
      </c>
      <c r="G93" s="11">
        <v>44743</v>
      </c>
      <c r="H93" s="9" t="s">
        <v>104</v>
      </c>
      <c r="I93" s="9">
        <v>3</v>
      </c>
      <c r="J93" s="9" t="s">
        <v>292</v>
      </c>
      <c r="K93" s="12" t="s">
        <v>249</v>
      </c>
      <c r="L93" s="9" t="s">
        <v>106</v>
      </c>
      <c r="M93" s="15" t="s">
        <v>250</v>
      </c>
      <c r="N93" s="9"/>
    </row>
    <row r="94" spans="1:14" s="13" customFormat="1" ht="50.1" customHeight="1" x14ac:dyDescent="0.25">
      <c r="A94" s="27" t="s">
        <v>293</v>
      </c>
      <c r="B94" s="9" t="s">
        <v>15</v>
      </c>
      <c r="C94" s="9">
        <v>88158913</v>
      </c>
      <c r="D94" s="9" t="s">
        <v>294</v>
      </c>
      <c r="E94" s="9" t="s">
        <v>267</v>
      </c>
      <c r="F94" s="9" t="s">
        <v>103</v>
      </c>
      <c r="G94" s="11">
        <v>44749</v>
      </c>
      <c r="H94" s="9" t="s">
        <v>104</v>
      </c>
      <c r="I94" s="9">
        <v>3</v>
      </c>
      <c r="J94" s="9" t="s">
        <v>268</v>
      </c>
      <c r="K94" s="12" t="s">
        <v>249</v>
      </c>
      <c r="L94" s="9" t="s">
        <v>106</v>
      </c>
      <c r="M94" s="15" t="s">
        <v>250</v>
      </c>
      <c r="N94" s="9"/>
    </row>
    <row r="95" spans="1:14" s="22" customFormat="1" ht="50.1" customHeight="1" x14ac:dyDescent="0.25">
      <c r="A95" s="15" t="s">
        <v>295</v>
      </c>
      <c r="B95" s="15" t="s">
        <v>15</v>
      </c>
      <c r="C95" s="15">
        <v>91524026</v>
      </c>
      <c r="D95" s="15" t="s">
        <v>296</v>
      </c>
      <c r="E95" s="15" t="s">
        <v>267</v>
      </c>
      <c r="F95" s="9" t="s">
        <v>103</v>
      </c>
      <c r="G95" s="25">
        <v>45120</v>
      </c>
      <c r="H95" s="15" t="s">
        <v>104</v>
      </c>
      <c r="I95" s="15">
        <v>3</v>
      </c>
      <c r="J95" s="15" t="s">
        <v>268</v>
      </c>
      <c r="K95" s="19" t="s">
        <v>249</v>
      </c>
      <c r="L95" s="9" t="s">
        <v>106</v>
      </c>
      <c r="M95" s="15" t="s">
        <v>250</v>
      </c>
      <c r="N95" s="15"/>
    </row>
    <row r="96" spans="1:14" s="13" customFormat="1" ht="50.1" customHeight="1" x14ac:dyDescent="0.25">
      <c r="A96" s="28" t="s">
        <v>297</v>
      </c>
      <c r="B96" s="9" t="s">
        <v>15</v>
      </c>
      <c r="C96" s="9">
        <v>1121936876</v>
      </c>
      <c r="D96" s="16" t="s">
        <v>298</v>
      </c>
      <c r="E96" s="9" t="s">
        <v>299</v>
      </c>
      <c r="F96" s="9" t="s">
        <v>18</v>
      </c>
      <c r="G96" s="11">
        <v>45174</v>
      </c>
      <c r="H96" s="12" t="s">
        <v>52</v>
      </c>
      <c r="I96" s="9">
        <v>3</v>
      </c>
      <c r="J96" s="12">
        <f>+C96</f>
        <v>1121936876</v>
      </c>
      <c r="K96" s="12" t="s">
        <v>300</v>
      </c>
      <c r="L96" s="12" t="s">
        <v>55</v>
      </c>
      <c r="M96" s="9" t="s">
        <v>301</v>
      </c>
      <c r="N96" s="9"/>
    </row>
    <row r="97" spans="1:19" s="13" customFormat="1" ht="50.1" customHeight="1" x14ac:dyDescent="0.25">
      <c r="A97" s="9" t="s">
        <v>302</v>
      </c>
      <c r="B97" s="9" t="s">
        <v>15</v>
      </c>
      <c r="C97" s="9">
        <v>1053611893</v>
      </c>
      <c r="D97" s="9" t="s">
        <v>303</v>
      </c>
      <c r="E97" s="9" t="s">
        <v>304</v>
      </c>
      <c r="F97" s="9" t="s">
        <v>103</v>
      </c>
      <c r="G97" s="11">
        <v>45201</v>
      </c>
      <c r="H97" s="9" t="s">
        <v>104</v>
      </c>
      <c r="I97" s="15">
        <v>3</v>
      </c>
      <c r="J97" s="9" t="s">
        <v>304</v>
      </c>
      <c r="K97" s="9"/>
      <c r="L97" s="9"/>
      <c r="M97" s="9"/>
      <c r="N97" s="9"/>
    </row>
    <row r="98" spans="1:19" s="13" customFormat="1" ht="50.1" customHeight="1" x14ac:dyDescent="0.25">
      <c r="A98" s="9" t="s">
        <v>305</v>
      </c>
      <c r="B98" s="9" t="s">
        <v>15</v>
      </c>
      <c r="C98" s="9">
        <v>1115914145</v>
      </c>
      <c r="D98" s="9" t="s">
        <v>306</v>
      </c>
      <c r="E98" s="9" t="s">
        <v>307</v>
      </c>
      <c r="F98" s="9" t="s">
        <v>103</v>
      </c>
      <c r="G98" s="11">
        <v>45201</v>
      </c>
      <c r="H98" s="9" t="s">
        <v>104</v>
      </c>
      <c r="I98" s="15">
        <v>3</v>
      </c>
      <c r="J98" s="15" t="s">
        <v>260</v>
      </c>
      <c r="K98" s="9"/>
      <c r="L98" s="9"/>
      <c r="M98" s="9"/>
      <c r="N98" s="9"/>
    </row>
    <row r="99" spans="1:19" s="22" customFormat="1" ht="50.1" customHeight="1" x14ac:dyDescent="0.25">
      <c r="A99" s="15" t="s">
        <v>308</v>
      </c>
      <c r="B99" s="15" t="s">
        <v>15</v>
      </c>
      <c r="C99" s="15">
        <v>26421498</v>
      </c>
      <c r="D99" s="15" t="s">
        <v>309</v>
      </c>
      <c r="E99" s="15" t="s">
        <v>307</v>
      </c>
      <c r="F99" s="9" t="s">
        <v>103</v>
      </c>
      <c r="G99" s="29">
        <v>45118</v>
      </c>
      <c r="H99" s="9" t="s">
        <v>104</v>
      </c>
      <c r="I99" s="15">
        <v>3</v>
      </c>
      <c r="J99" s="15" t="s">
        <v>260</v>
      </c>
      <c r="K99" s="19" t="s">
        <v>249</v>
      </c>
      <c r="L99" s="9" t="s">
        <v>106</v>
      </c>
      <c r="M99" s="15" t="s">
        <v>250</v>
      </c>
      <c r="N99" s="15"/>
    </row>
    <row r="100" spans="1:19" s="22" customFormat="1" ht="50.1" customHeight="1" x14ac:dyDescent="0.25">
      <c r="A100" s="15" t="s">
        <v>310</v>
      </c>
      <c r="B100" s="15" t="s">
        <v>15</v>
      </c>
      <c r="C100" s="15">
        <v>1098717872</v>
      </c>
      <c r="D100" s="15" t="s">
        <v>311</v>
      </c>
      <c r="E100" s="15" t="s">
        <v>307</v>
      </c>
      <c r="F100" s="9" t="s">
        <v>103</v>
      </c>
      <c r="G100" s="25">
        <v>45118</v>
      </c>
      <c r="H100" s="9" t="s">
        <v>104</v>
      </c>
      <c r="I100" s="15">
        <v>3</v>
      </c>
      <c r="J100" s="15" t="s">
        <v>260</v>
      </c>
      <c r="K100" s="19" t="s">
        <v>249</v>
      </c>
      <c r="L100" s="9" t="s">
        <v>106</v>
      </c>
      <c r="M100" s="15" t="s">
        <v>250</v>
      </c>
      <c r="N100" s="15"/>
    </row>
    <row r="101" spans="1:19" s="13" customFormat="1" ht="50.1" customHeight="1" x14ac:dyDescent="0.25">
      <c r="A101" s="9" t="s">
        <v>312</v>
      </c>
      <c r="B101" s="9" t="s">
        <v>15</v>
      </c>
      <c r="C101" s="9">
        <v>33647141</v>
      </c>
      <c r="D101" s="9" t="s">
        <v>313</v>
      </c>
      <c r="E101" s="9" t="s">
        <v>307</v>
      </c>
      <c r="F101" s="9" t="s">
        <v>103</v>
      </c>
      <c r="G101" s="11">
        <v>45201</v>
      </c>
      <c r="H101" s="9" t="s">
        <v>104</v>
      </c>
      <c r="I101" s="15">
        <v>3</v>
      </c>
      <c r="J101" s="15" t="s">
        <v>260</v>
      </c>
      <c r="K101" s="9"/>
      <c r="L101" s="9"/>
      <c r="M101" s="9"/>
      <c r="N101" s="9"/>
    </row>
    <row r="102" spans="1:19" s="22" customFormat="1" ht="50.1" customHeight="1" x14ac:dyDescent="0.25">
      <c r="A102" s="15" t="s">
        <v>314</v>
      </c>
      <c r="B102" s="15" t="s">
        <v>15</v>
      </c>
      <c r="C102" s="15">
        <v>1090509220</v>
      </c>
      <c r="D102" s="15" t="s">
        <v>315</v>
      </c>
      <c r="E102" s="15" t="s">
        <v>316</v>
      </c>
      <c r="F102" s="9" t="s">
        <v>103</v>
      </c>
      <c r="G102" s="25">
        <v>45118</v>
      </c>
      <c r="H102" s="9" t="s">
        <v>104</v>
      </c>
      <c r="I102" s="15">
        <v>3</v>
      </c>
      <c r="J102" s="15" t="s">
        <v>248</v>
      </c>
      <c r="K102" s="19" t="s">
        <v>249</v>
      </c>
      <c r="L102" s="9" t="s">
        <v>106</v>
      </c>
      <c r="M102" s="15" t="s">
        <v>250</v>
      </c>
      <c r="N102" s="15"/>
    </row>
    <row r="103" spans="1:19" s="13" customFormat="1" ht="50.1" customHeight="1" x14ac:dyDescent="0.25">
      <c r="A103" s="9" t="s">
        <v>317</v>
      </c>
      <c r="B103" s="9" t="s">
        <v>15</v>
      </c>
      <c r="C103" s="9">
        <v>88281896</v>
      </c>
      <c r="D103" s="9" t="s">
        <v>318</v>
      </c>
      <c r="E103" s="15" t="s">
        <v>263</v>
      </c>
      <c r="F103" s="9" t="s">
        <v>103</v>
      </c>
      <c r="G103" s="11">
        <v>45200</v>
      </c>
      <c r="H103" s="9" t="s">
        <v>104</v>
      </c>
      <c r="I103" s="15">
        <v>3</v>
      </c>
      <c r="J103" s="15" t="s">
        <v>264</v>
      </c>
      <c r="K103" s="19" t="s">
        <v>249</v>
      </c>
      <c r="L103" s="9" t="s">
        <v>106</v>
      </c>
      <c r="M103" s="15" t="s">
        <v>250</v>
      </c>
      <c r="N103" s="9"/>
    </row>
    <row r="104" spans="1:19" s="22" customFormat="1" ht="50.1" customHeight="1" x14ac:dyDescent="0.25">
      <c r="A104" s="15" t="s">
        <v>319</v>
      </c>
      <c r="B104" s="15" t="s">
        <v>15</v>
      </c>
      <c r="C104" s="15">
        <v>1106394070</v>
      </c>
      <c r="D104" s="15" t="s">
        <v>320</v>
      </c>
      <c r="E104" s="15" t="s">
        <v>267</v>
      </c>
      <c r="F104" s="9" t="s">
        <v>103</v>
      </c>
      <c r="G104" s="25">
        <v>45118</v>
      </c>
      <c r="H104" s="15" t="s">
        <v>104</v>
      </c>
      <c r="I104" s="15">
        <v>3</v>
      </c>
      <c r="J104" s="15" t="s">
        <v>268</v>
      </c>
      <c r="K104" s="19" t="s">
        <v>249</v>
      </c>
      <c r="L104" s="9" t="s">
        <v>106</v>
      </c>
      <c r="M104" s="15" t="s">
        <v>250</v>
      </c>
      <c r="N104" s="15"/>
    </row>
    <row r="105" spans="1:19" s="22" customFormat="1" ht="50.1" customHeight="1" x14ac:dyDescent="0.25">
      <c r="A105" s="15" t="s">
        <v>321</v>
      </c>
      <c r="B105" s="15" t="s">
        <v>15</v>
      </c>
      <c r="C105" s="15">
        <v>1020786562</v>
      </c>
      <c r="D105" s="15" t="s">
        <v>322</v>
      </c>
      <c r="E105" s="15" t="s">
        <v>253</v>
      </c>
      <c r="F105" s="9" t="s">
        <v>103</v>
      </c>
      <c r="G105" s="25">
        <v>45125</v>
      </c>
      <c r="H105" s="15" t="s">
        <v>104</v>
      </c>
      <c r="I105" s="15">
        <v>3</v>
      </c>
      <c r="J105" s="15" t="s">
        <v>254</v>
      </c>
      <c r="K105" s="19" t="s">
        <v>249</v>
      </c>
      <c r="L105" s="9" t="s">
        <v>106</v>
      </c>
      <c r="M105" s="15" t="s">
        <v>250</v>
      </c>
      <c r="N105" s="15"/>
    </row>
    <row r="106" spans="1:19" s="22" customFormat="1" ht="50.1" customHeight="1" x14ac:dyDescent="0.25">
      <c r="A106" s="15" t="s">
        <v>323</v>
      </c>
      <c r="B106" s="15" t="s">
        <v>15</v>
      </c>
      <c r="C106" s="15">
        <v>1075233230</v>
      </c>
      <c r="D106" s="15" t="s">
        <v>324</v>
      </c>
      <c r="E106" s="15" t="s">
        <v>253</v>
      </c>
      <c r="F106" s="9" t="s">
        <v>103</v>
      </c>
      <c r="G106" s="25">
        <v>45118</v>
      </c>
      <c r="H106" s="15" t="s">
        <v>104</v>
      </c>
      <c r="I106" s="15">
        <v>3</v>
      </c>
      <c r="J106" s="15" t="s">
        <v>254</v>
      </c>
      <c r="K106" s="19" t="s">
        <v>249</v>
      </c>
      <c r="L106" s="9" t="s">
        <v>106</v>
      </c>
      <c r="M106" s="15" t="s">
        <v>250</v>
      </c>
      <c r="N106" s="15"/>
    </row>
    <row r="107" spans="1:19" s="22" customFormat="1" ht="50.1" customHeight="1" x14ac:dyDescent="0.25">
      <c r="A107" s="15" t="s">
        <v>245</v>
      </c>
      <c r="B107" s="19" t="s">
        <v>15</v>
      </c>
      <c r="C107" s="15">
        <v>1018455383</v>
      </c>
      <c r="D107" s="30" t="s">
        <v>246</v>
      </c>
      <c r="E107" s="15" t="s">
        <v>211</v>
      </c>
      <c r="F107" s="15" t="s">
        <v>107</v>
      </c>
      <c r="G107" s="25">
        <v>45512</v>
      </c>
      <c r="H107" s="15" t="s">
        <v>104</v>
      </c>
      <c r="I107" s="15">
        <v>3</v>
      </c>
      <c r="J107" s="16" t="e">
        <f>CONCATENATE(+#REF!,"E")</f>
        <v>#REF!</v>
      </c>
      <c r="K107" s="19" t="s">
        <v>185</v>
      </c>
      <c r="L107" s="9" t="s">
        <v>106</v>
      </c>
      <c r="M107" s="15" t="str">
        <f t="shared" ref="M107:M146" si="2">F107</f>
        <v>PROYECTO PETROSERVICIOS</v>
      </c>
      <c r="N107" s="15">
        <v>9139035</v>
      </c>
      <c r="S107" s="15"/>
    </row>
    <row r="108" spans="1:19" s="13" customFormat="1" ht="50.1" customHeight="1" x14ac:dyDescent="0.25">
      <c r="A108" s="9" t="s">
        <v>325</v>
      </c>
      <c r="B108" s="12" t="s">
        <v>15</v>
      </c>
      <c r="C108" s="9">
        <v>1098745210</v>
      </c>
      <c r="D108" s="16" t="s">
        <v>326</v>
      </c>
      <c r="E108" s="23" t="s">
        <v>232</v>
      </c>
      <c r="F108" s="9" t="s">
        <v>107</v>
      </c>
      <c r="G108" s="11">
        <v>45313</v>
      </c>
      <c r="H108" s="9" t="s">
        <v>104</v>
      </c>
      <c r="I108" s="9">
        <v>3</v>
      </c>
      <c r="J108" s="16" t="e">
        <f>CONCATENATE(+#REF!,"E")</f>
        <v>#REF!</v>
      </c>
      <c r="K108" s="12" t="s">
        <v>327</v>
      </c>
      <c r="L108" s="9" t="s">
        <v>106</v>
      </c>
      <c r="M108" s="9" t="str">
        <f t="shared" si="2"/>
        <v>PROYECTO PETROSERVICIOS</v>
      </c>
      <c r="N108" s="9">
        <v>9186547</v>
      </c>
      <c r="S108" s="9"/>
    </row>
    <row r="109" spans="1:19" s="13" customFormat="1" ht="50.1" customHeight="1" x14ac:dyDescent="0.25">
      <c r="A109" s="9" t="s">
        <v>328</v>
      </c>
      <c r="B109" s="12" t="s">
        <v>15</v>
      </c>
      <c r="C109" s="9">
        <v>1013633604</v>
      </c>
      <c r="D109" s="16" t="s">
        <v>329</v>
      </c>
      <c r="E109" s="23" t="s">
        <v>232</v>
      </c>
      <c r="F109" s="9" t="s">
        <v>107</v>
      </c>
      <c r="G109" s="11">
        <v>45313</v>
      </c>
      <c r="H109" s="9" t="s">
        <v>104</v>
      </c>
      <c r="I109" s="9">
        <v>3</v>
      </c>
      <c r="J109" s="16" t="e">
        <f>CONCATENATE(+#REF!,"E")</f>
        <v>#REF!</v>
      </c>
      <c r="K109" s="12" t="s">
        <v>327</v>
      </c>
      <c r="L109" s="9" t="s">
        <v>106</v>
      </c>
      <c r="M109" s="9" t="str">
        <f t="shared" si="2"/>
        <v>PROYECTO PETROSERVICIOS</v>
      </c>
      <c r="N109" s="9">
        <v>9186547</v>
      </c>
      <c r="S109" s="9"/>
    </row>
    <row r="110" spans="1:19" s="13" customFormat="1" ht="50.1" customHeight="1" x14ac:dyDescent="0.25">
      <c r="A110" s="9" t="s">
        <v>330</v>
      </c>
      <c r="B110" s="12" t="s">
        <v>15</v>
      </c>
      <c r="C110" s="9">
        <v>1016597</v>
      </c>
      <c r="D110" s="16" t="s">
        <v>331</v>
      </c>
      <c r="E110" s="9" t="s">
        <v>147</v>
      </c>
      <c r="F110" s="9" t="s">
        <v>107</v>
      </c>
      <c r="G110" s="11">
        <v>45313</v>
      </c>
      <c r="H110" s="9" t="s">
        <v>104</v>
      </c>
      <c r="I110" s="9">
        <v>3</v>
      </c>
      <c r="J110" s="16" t="e">
        <f>CONCATENATE(+#REF!,"E")</f>
        <v>#REF!</v>
      </c>
      <c r="K110" s="12" t="s">
        <v>327</v>
      </c>
      <c r="L110" s="9" t="s">
        <v>106</v>
      </c>
      <c r="M110" s="9" t="str">
        <f t="shared" si="2"/>
        <v>PROYECTO PETROSERVICIOS</v>
      </c>
      <c r="N110" s="9">
        <v>9186547</v>
      </c>
      <c r="S110" s="9"/>
    </row>
    <row r="111" spans="1:19" s="13" customFormat="1" ht="50.1" customHeight="1" x14ac:dyDescent="0.25">
      <c r="A111" s="9" t="s">
        <v>332</v>
      </c>
      <c r="B111" s="12" t="s">
        <v>15</v>
      </c>
      <c r="C111" s="9">
        <v>1003934174</v>
      </c>
      <c r="D111" s="16" t="s">
        <v>333</v>
      </c>
      <c r="E111" s="23" t="s">
        <v>232</v>
      </c>
      <c r="F111" s="9" t="s">
        <v>107</v>
      </c>
      <c r="G111" s="11">
        <v>45313</v>
      </c>
      <c r="H111" s="9" t="s">
        <v>104</v>
      </c>
      <c r="I111" s="9">
        <v>3</v>
      </c>
      <c r="J111" s="16" t="e">
        <f>CONCATENATE(+#REF!,"E")</f>
        <v>#REF!</v>
      </c>
      <c r="K111" s="12" t="s">
        <v>327</v>
      </c>
      <c r="L111" s="9" t="s">
        <v>106</v>
      </c>
      <c r="M111" s="9" t="str">
        <f t="shared" si="2"/>
        <v>PROYECTO PETROSERVICIOS</v>
      </c>
      <c r="N111" s="9">
        <v>9135816</v>
      </c>
      <c r="S111" s="9"/>
    </row>
    <row r="112" spans="1:19" s="13" customFormat="1" ht="50.1" customHeight="1" x14ac:dyDescent="0.25">
      <c r="A112" s="9" t="s">
        <v>334</v>
      </c>
      <c r="B112" s="12" t="s">
        <v>15</v>
      </c>
      <c r="C112" s="9">
        <v>91524899</v>
      </c>
      <c r="D112" s="16" t="s">
        <v>335</v>
      </c>
      <c r="E112" s="23" t="s">
        <v>232</v>
      </c>
      <c r="F112" s="9" t="s">
        <v>107</v>
      </c>
      <c r="G112" s="11">
        <v>45313</v>
      </c>
      <c r="H112" s="9" t="s">
        <v>104</v>
      </c>
      <c r="I112" s="9">
        <v>3</v>
      </c>
      <c r="J112" s="16" t="e">
        <f>CONCATENATE(+#REF!,"E")</f>
        <v>#REF!</v>
      </c>
      <c r="K112" s="12" t="s">
        <v>327</v>
      </c>
      <c r="L112" s="9" t="s">
        <v>106</v>
      </c>
      <c r="M112" s="9" t="str">
        <f t="shared" si="2"/>
        <v>PROYECTO PETROSERVICIOS</v>
      </c>
      <c r="N112" s="9">
        <v>9186547</v>
      </c>
      <c r="S112" s="9"/>
    </row>
    <row r="113" spans="1:23" s="13" customFormat="1" ht="50.1" customHeight="1" x14ac:dyDescent="0.25">
      <c r="A113" s="9" t="s">
        <v>336</v>
      </c>
      <c r="B113" s="12" t="s">
        <v>15</v>
      </c>
      <c r="C113" s="9">
        <v>1045706790</v>
      </c>
      <c r="D113" s="16" t="s">
        <v>337</v>
      </c>
      <c r="E113" s="23" t="s">
        <v>232</v>
      </c>
      <c r="F113" s="9" t="s">
        <v>107</v>
      </c>
      <c r="G113" s="11">
        <v>45313</v>
      </c>
      <c r="H113" s="9" t="s">
        <v>104</v>
      </c>
      <c r="I113" s="9">
        <v>3</v>
      </c>
      <c r="J113" s="16" t="e">
        <f>CONCATENATE(+#REF!,"E")</f>
        <v>#REF!</v>
      </c>
      <c r="K113" s="12" t="s">
        <v>327</v>
      </c>
      <c r="L113" s="9" t="s">
        <v>106</v>
      </c>
      <c r="M113" s="9" t="str">
        <f t="shared" si="2"/>
        <v>PROYECTO PETROSERVICIOS</v>
      </c>
      <c r="N113" s="9">
        <v>9186547</v>
      </c>
      <c r="S113" s="9"/>
    </row>
    <row r="114" spans="1:23" s="13" customFormat="1" ht="50.1" customHeight="1" x14ac:dyDescent="0.25">
      <c r="A114" s="9" t="s">
        <v>338</v>
      </c>
      <c r="B114" s="12" t="s">
        <v>15</v>
      </c>
      <c r="C114" s="9">
        <v>1040746072</v>
      </c>
      <c r="D114" s="16" t="s">
        <v>339</v>
      </c>
      <c r="E114" s="23" t="s">
        <v>232</v>
      </c>
      <c r="F114" s="9" t="s">
        <v>107</v>
      </c>
      <c r="G114" s="11">
        <v>45313</v>
      </c>
      <c r="H114" s="9" t="s">
        <v>104</v>
      </c>
      <c r="I114" s="9">
        <v>3</v>
      </c>
      <c r="J114" s="16" t="e">
        <f>CONCATENATE(+#REF!,"E")</f>
        <v>#REF!</v>
      </c>
      <c r="K114" s="12" t="s">
        <v>327</v>
      </c>
      <c r="L114" s="9" t="s">
        <v>106</v>
      </c>
      <c r="M114" s="9" t="str">
        <f t="shared" si="2"/>
        <v>PROYECTO PETROSERVICIOS</v>
      </c>
      <c r="N114" s="9">
        <v>9186547</v>
      </c>
      <c r="S114" s="9"/>
    </row>
    <row r="115" spans="1:23" s="13" customFormat="1" ht="50.1" customHeight="1" x14ac:dyDescent="0.25">
      <c r="A115" s="9" t="s">
        <v>340</v>
      </c>
      <c r="B115" s="12" t="s">
        <v>15</v>
      </c>
      <c r="C115" s="9">
        <v>1014262113</v>
      </c>
      <c r="D115" s="16" t="s">
        <v>341</v>
      </c>
      <c r="E115" s="23" t="s">
        <v>232</v>
      </c>
      <c r="F115" s="9" t="s">
        <v>107</v>
      </c>
      <c r="G115" s="11">
        <v>45313</v>
      </c>
      <c r="H115" s="9" t="s">
        <v>104</v>
      </c>
      <c r="I115" s="9">
        <v>3</v>
      </c>
      <c r="J115" s="16" t="e">
        <f>CONCATENATE(+#REF!,"E")</f>
        <v>#REF!</v>
      </c>
      <c r="K115" s="12" t="s">
        <v>327</v>
      </c>
      <c r="L115" s="9" t="s">
        <v>106</v>
      </c>
      <c r="M115" s="9" t="s">
        <v>107</v>
      </c>
      <c r="N115" s="9">
        <v>9119211</v>
      </c>
      <c r="S115" s="9"/>
    </row>
    <row r="116" spans="1:23" s="13" customFormat="1" ht="50.1" customHeight="1" x14ac:dyDescent="0.25">
      <c r="A116" s="9" t="s">
        <v>342</v>
      </c>
      <c r="B116" s="12" t="s">
        <v>15</v>
      </c>
      <c r="C116" s="9">
        <v>37546080</v>
      </c>
      <c r="D116" s="16" t="s">
        <v>343</v>
      </c>
      <c r="E116" s="9" t="s">
        <v>147</v>
      </c>
      <c r="F116" s="9" t="s">
        <v>107</v>
      </c>
      <c r="G116" s="11">
        <v>45313</v>
      </c>
      <c r="H116" s="9" t="s">
        <v>104</v>
      </c>
      <c r="I116" s="9">
        <v>3</v>
      </c>
      <c r="J116" s="16" t="e">
        <f>CONCATENATE(+#REF!,"E")</f>
        <v>#REF!</v>
      </c>
      <c r="K116" s="12" t="s">
        <v>327</v>
      </c>
      <c r="L116" s="9" t="s">
        <v>106</v>
      </c>
      <c r="M116" s="9" t="s">
        <v>107</v>
      </c>
      <c r="N116" s="9">
        <v>9119211</v>
      </c>
      <c r="S116" s="9"/>
    </row>
    <row r="117" spans="1:23" s="13" customFormat="1" ht="50.1" customHeight="1" x14ac:dyDescent="0.25">
      <c r="A117" s="9" t="s">
        <v>344</v>
      </c>
      <c r="B117" s="12" t="s">
        <v>15</v>
      </c>
      <c r="C117" s="9">
        <v>1075212439</v>
      </c>
      <c r="D117" s="16" t="s">
        <v>345</v>
      </c>
      <c r="E117" s="9" t="s">
        <v>147</v>
      </c>
      <c r="F117" s="9" t="s">
        <v>107</v>
      </c>
      <c r="G117" s="11">
        <v>45313</v>
      </c>
      <c r="H117" s="9" t="s">
        <v>104</v>
      </c>
      <c r="I117" s="9">
        <v>3</v>
      </c>
      <c r="J117" s="16" t="e">
        <f>CONCATENATE(+#REF!,"E")</f>
        <v>#REF!</v>
      </c>
      <c r="K117" s="12" t="s">
        <v>327</v>
      </c>
      <c r="L117" s="9" t="s">
        <v>106</v>
      </c>
      <c r="M117" s="9" t="str">
        <f t="shared" si="2"/>
        <v>PROYECTO PETROSERVICIOS</v>
      </c>
      <c r="N117" s="9">
        <v>9186546</v>
      </c>
      <c r="S117" s="9"/>
    </row>
    <row r="118" spans="1:23" s="13" customFormat="1" ht="50.1" customHeight="1" x14ac:dyDescent="0.25">
      <c r="A118" s="9" t="s">
        <v>346</v>
      </c>
      <c r="B118" s="12" t="s">
        <v>15</v>
      </c>
      <c r="C118" s="9">
        <v>1098726424</v>
      </c>
      <c r="D118" s="16" t="s">
        <v>347</v>
      </c>
      <c r="E118" s="23" t="s">
        <v>232</v>
      </c>
      <c r="F118" s="9" t="s">
        <v>107</v>
      </c>
      <c r="G118" s="11">
        <v>45315</v>
      </c>
      <c r="H118" s="9" t="s">
        <v>104</v>
      </c>
      <c r="I118" s="9">
        <v>3</v>
      </c>
      <c r="J118" s="16" t="e">
        <f>CONCATENATE(+#REF!,"E")</f>
        <v>#REF!</v>
      </c>
      <c r="K118" s="12" t="s">
        <v>327</v>
      </c>
      <c r="L118" s="9" t="s">
        <v>106</v>
      </c>
      <c r="M118" s="9" t="str">
        <f t="shared" si="2"/>
        <v>PROYECTO PETROSERVICIOS</v>
      </c>
      <c r="N118" s="9">
        <v>9186547</v>
      </c>
      <c r="S118" s="9"/>
    </row>
    <row r="119" spans="1:23" s="13" customFormat="1" ht="50.1" customHeight="1" x14ac:dyDescent="0.25">
      <c r="A119" s="9" t="s">
        <v>348</v>
      </c>
      <c r="B119" s="12" t="s">
        <v>15</v>
      </c>
      <c r="C119" s="9">
        <v>1087047704</v>
      </c>
      <c r="D119" s="16" t="s">
        <v>349</v>
      </c>
      <c r="E119" s="23" t="s">
        <v>232</v>
      </c>
      <c r="F119" s="9" t="s">
        <v>107</v>
      </c>
      <c r="G119" s="11">
        <v>45365</v>
      </c>
      <c r="H119" s="9" t="s">
        <v>104</v>
      </c>
      <c r="I119" s="9">
        <v>3</v>
      </c>
      <c r="J119" s="16" t="e">
        <f>CONCATENATE(+#REF!,"E")</f>
        <v>#REF!</v>
      </c>
      <c r="K119" s="12" t="s">
        <v>327</v>
      </c>
      <c r="L119" s="9" t="s">
        <v>106</v>
      </c>
      <c r="M119" s="9" t="str">
        <f t="shared" si="2"/>
        <v>PROYECTO PETROSERVICIOS</v>
      </c>
      <c r="N119" s="9">
        <v>9186546</v>
      </c>
      <c r="S119" s="9"/>
    </row>
    <row r="120" spans="1:23" s="13" customFormat="1" ht="50.1" customHeight="1" x14ac:dyDescent="0.25">
      <c r="A120" s="9" t="s">
        <v>350</v>
      </c>
      <c r="B120" s="12" t="s">
        <v>15</v>
      </c>
      <c r="C120" s="9">
        <v>1098663949</v>
      </c>
      <c r="D120" s="9" t="s">
        <v>351</v>
      </c>
      <c r="E120" s="23" t="s">
        <v>232</v>
      </c>
      <c r="F120" s="9" t="s">
        <v>107</v>
      </c>
      <c r="G120" s="11">
        <v>45404</v>
      </c>
      <c r="H120" s="9" t="s">
        <v>104</v>
      </c>
      <c r="I120" s="9">
        <v>3</v>
      </c>
      <c r="J120" s="16" t="e">
        <f>CONCATENATE(+#REF!,"E")</f>
        <v>#REF!</v>
      </c>
      <c r="K120" s="12" t="s">
        <v>327</v>
      </c>
      <c r="L120" s="9" t="s">
        <v>106</v>
      </c>
      <c r="M120" s="9" t="str">
        <f t="shared" si="2"/>
        <v>PROYECTO PETROSERVICIOS</v>
      </c>
      <c r="N120" s="9" t="s">
        <v>352</v>
      </c>
      <c r="O120" s="17"/>
      <c r="P120" s="17"/>
      <c r="Q120" s="17"/>
      <c r="R120" s="17"/>
      <c r="S120" s="17"/>
      <c r="T120" s="17"/>
      <c r="U120" s="17"/>
      <c r="V120" s="17"/>
      <c r="W120" s="17"/>
    </row>
    <row r="121" spans="1:23" s="22" customFormat="1" ht="50.1" customHeight="1" x14ac:dyDescent="0.25">
      <c r="A121" s="15" t="s">
        <v>353</v>
      </c>
      <c r="B121" s="19" t="s">
        <v>15</v>
      </c>
      <c r="C121" s="15">
        <v>1032398017</v>
      </c>
      <c r="D121" s="30" t="s">
        <v>354</v>
      </c>
      <c r="E121" s="23" t="s">
        <v>232</v>
      </c>
      <c r="F121" s="15" t="s">
        <v>107</v>
      </c>
      <c r="G121" s="25">
        <v>45426</v>
      </c>
      <c r="H121" s="15" t="s">
        <v>104</v>
      </c>
      <c r="I121" s="15">
        <v>3</v>
      </c>
      <c r="J121" s="16" t="e">
        <f>CONCATENATE(+#REF!,"E")</f>
        <v>#REF!</v>
      </c>
      <c r="K121" s="19" t="s">
        <v>327</v>
      </c>
      <c r="L121" s="9" t="s">
        <v>106</v>
      </c>
      <c r="M121" s="15" t="str">
        <f t="shared" si="2"/>
        <v>PROYECTO PETROSERVICIOS</v>
      </c>
      <c r="N121" s="15">
        <v>9146960</v>
      </c>
      <c r="S121" s="15"/>
    </row>
    <row r="122" spans="1:23" s="13" customFormat="1" ht="50.1" customHeight="1" x14ac:dyDescent="0.25">
      <c r="A122" s="9" t="s">
        <v>355</v>
      </c>
      <c r="B122" s="12" t="s">
        <v>15</v>
      </c>
      <c r="C122" s="9">
        <v>506169</v>
      </c>
      <c r="D122" s="16" t="s">
        <v>356</v>
      </c>
      <c r="E122" s="9" t="s">
        <v>147</v>
      </c>
      <c r="F122" s="9" t="s">
        <v>107</v>
      </c>
      <c r="G122" s="11">
        <v>45384</v>
      </c>
      <c r="H122" s="9" t="s">
        <v>104</v>
      </c>
      <c r="I122" s="9">
        <v>3</v>
      </c>
      <c r="J122" s="16" t="e">
        <f>CONCATENATE(+#REF!,"E")</f>
        <v>#REF!</v>
      </c>
      <c r="K122" s="12" t="s">
        <v>357</v>
      </c>
      <c r="L122" s="9" t="s">
        <v>106</v>
      </c>
      <c r="M122" s="9" t="str">
        <f t="shared" si="2"/>
        <v>PROYECTO PETROSERVICIOS</v>
      </c>
      <c r="N122" s="9">
        <v>9183859</v>
      </c>
      <c r="O122" s="17"/>
      <c r="P122" s="17"/>
      <c r="Q122" s="17"/>
      <c r="R122" s="17"/>
      <c r="S122" s="9"/>
      <c r="U122" s="17"/>
      <c r="V122" s="17"/>
      <c r="W122" s="17"/>
    </row>
    <row r="123" spans="1:23" s="22" customFormat="1" ht="50.1" customHeight="1" x14ac:dyDescent="0.25">
      <c r="A123" s="15" t="s">
        <v>358</v>
      </c>
      <c r="B123" s="19" t="s">
        <v>15</v>
      </c>
      <c r="C123" s="15">
        <v>80074517</v>
      </c>
      <c r="D123" s="15" t="s">
        <v>359</v>
      </c>
      <c r="E123" s="15" t="s">
        <v>360</v>
      </c>
      <c r="F123" s="15" t="s">
        <v>107</v>
      </c>
      <c r="G123" s="25">
        <v>45384</v>
      </c>
      <c r="H123" s="15" t="s">
        <v>104</v>
      </c>
      <c r="I123" s="15">
        <v>3</v>
      </c>
      <c r="J123" s="16" t="e">
        <f>CONCATENATE(+#REF!,"E")</f>
        <v>#REF!</v>
      </c>
      <c r="K123" s="19" t="s">
        <v>357</v>
      </c>
      <c r="L123" s="9" t="s">
        <v>106</v>
      </c>
      <c r="M123" s="15" t="str">
        <f t="shared" si="2"/>
        <v>PROYECTO PETROSERVICIOS</v>
      </c>
      <c r="N123" s="15" t="s">
        <v>352</v>
      </c>
      <c r="S123" s="15"/>
    </row>
    <row r="124" spans="1:23" s="13" customFormat="1" ht="50.1" customHeight="1" x14ac:dyDescent="0.25">
      <c r="A124" s="9" t="s">
        <v>361</v>
      </c>
      <c r="B124" s="12" t="s">
        <v>15</v>
      </c>
      <c r="C124" s="9">
        <v>1013629348</v>
      </c>
      <c r="D124" s="9" t="s">
        <v>362</v>
      </c>
      <c r="E124" s="23" t="s">
        <v>232</v>
      </c>
      <c r="F124" s="9" t="s">
        <v>107</v>
      </c>
      <c r="G124" s="11">
        <v>45404</v>
      </c>
      <c r="H124" s="9" t="s">
        <v>104</v>
      </c>
      <c r="I124" s="9">
        <v>3</v>
      </c>
      <c r="J124" s="16" t="e">
        <f>CONCATENATE(+#REF!,"E")</f>
        <v>#REF!</v>
      </c>
      <c r="K124" s="12" t="s">
        <v>363</v>
      </c>
      <c r="L124" s="9" t="s">
        <v>106</v>
      </c>
      <c r="M124" s="9" t="str">
        <f t="shared" si="2"/>
        <v>PROYECTO PETROSERVICIOS</v>
      </c>
      <c r="N124" s="9" t="s">
        <v>167</v>
      </c>
      <c r="S124" s="9"/>
    </row>
    <row r="125" spans="1:23" s="13" customFormat="1" ht="50.1" customHeight="1" x14ac:dyDescent="0.25">
      <c r="A125" s="9" t="s">
        <v>364</v>
      </c>
      <c r="B125" s="12" t="s">
        <v>15</v>
      </c>
      <c r="C125" s="9">
        <v>91514446</v>
      </c>
      <c r="D125" s="9" t="s">
        <v>365</v>
      </c>
      <c r="E125" s="9" t="s">
        <v>147</v>
      </c>
      <c r="F125" s="9" t="s">
        <v>107</v>
      </c>
      <c r="G125" s="11">
        <v>45404</v>
      </c>
      <c r="H125" s="9" t="s">
        <v>104</v>
      </c>
      <c r="I125" s="9">
        <v>3</v>
      </c>
      <c r="J125" s="16" t="e">
        <f>CONCATENATE(+#REF!,"E")</f>
        <v>#REF!</v>
      </c>
      <c r="K125" s="12" t="s">
        <v>363</v>
      </c>
      <c r="L125" s="9" t="s">
        <v>106</v>
      </c>
      <c r="M125" s="9" t="str">
        <f t="shared" si="2"/>
        <v>PROYECTO PETROSERVICIOS</v>
      </c>
      <c r="N125" s="9" t="s">
        <v>167</v>
      </c>
    </row>
    <row r="126" spans="1:23" s="13" customFormat="1" ht="50.1" customHeight="1" x14ac:dyDescent="0.25">
      <c r="A126" s="9" t="s">
        <v>366</v>
      </c>
      <c r="B126" s="12" t="s">
        <v>15</v>
      </c>
      <c r="C126" s="9">
        <v>1053792535</v>
      </c>
      <c r="D126" s="9" t="s">
        <v>367</v>
      </c>
      <c r="E126" s="23" t="s">
        <v>232</v>
      </c>
      <c r="F126" s="9" t="s">
        <v>107</v>
      </c>
      <c r="G126" s="11">
        <v>45404</v>
      </c>
      <c r="H126" s="9" t="s">
        <v>104</v>
      </c>
      <c r="I126" s="9">
        <v>3</v>
      </c>
      <c r="J126" s="16" t="e">
        <f>CONCATENATE(+#REF!,"E")</f>
        <v>#REF!</v>
      </c>
      <c r="K126" s="12" t="s">
        <v>363</v>
      </c>
      <c r="L126" s="9" t="s">
        <v>106</v>
      </c>
      <c r="M126" s="9" t="str">
        <f t="shared" si="2"/>
        <v>PROYECTO PETROSERVICIOS</v>
      </c>
      <c r="N126" s="9">
        <v>9135816</v>
      </c>
      <c r="S126" s="9"/>
    </row>
    <row r="127" spans="1:23" s="22" customFormat="1" ht="50.1" customHeight="1" x14ac:dyDescent="0.25">
      <c r="A127" s="15" t="s">
        <v>368</v>
      </c>
      <c r="B127" s="19" t="s">
        <v>15</v>
      </c>
      <c r="C127" s="15">
        <v>79686130</v>
      </c>
      <c r="D127" s="15" t="s">
        <v>369</v>
      </c>
      <c r="E127" s="9" t="s">
        <v>147</v>
      </c>
      <c r="F127" s="15" t="s">
        <v>107</v>
      </c>
      <c r="G127" s="25">
        <v>45404</v>
      </c>
      <c r="H127" s="15" t="s">
        <v>104</v>
      </c>
      <c r="I127" s="15">
        <v>3</v>
      </c>
      <c r="J127" s="16" t="e">
        <f>CONCATENATE(+#REF!,"E")</f>
        <v>#REF!</v>
      </c>
      <c r="K127" s="19" t="s">
        <v>363</v>
      </c>
      <c r="L127" s="9" t="s">
        <v>106</v>
      </c>
      <c r="M127" s="15" t="str">
        <f t="shared" si="2"/>
        <v>PROYECTO PETROSERVICIOS</v>
      </c>
      <c r="N127" s="15" t="s">
        <v>167</v>
      </c>
      <c r="S127" s="15"/>
    </row>
    <row r="128" spans="1:23" s="13" customFormat="1" ht="50.1" customHeight="1" x14ac:dyDescent="0.25">
      <c r="A128" s="9" t="s">
        <v>370</v>
      </c>
      <c r="B128" s="12" t="s">
        <v>15</v>
      </c>
      <c r="C128" s="9">
        <v>1098610954</v>
      </c>
      <c r="D128" s="9" t="s">
        <v>371</v>
      </c>
      <c r="E128" s="23" t="s">
        <v>232</v>
      </c>
      <c r="F128" s="9" t="s">
        <v>107</v>
      </c>
      <c r="G128" s="11">
        <v>45407</v>
      </c>
      <c r="H128" s="9" t="s">
        <v>104</v>
      </c>
      <c r="I128" s="9">
        <v>3</v>
      </c>
      <c r="J128" s="16" t="e">
        <f>CONCATENATE(+#REF!,"E")</f>
        <v>#REF!</v>
      </c>
      <c r="K128" s="12" t="s">
        <v>372</v>
      </c>
      <c r="L128" s="9" t="s">
        <v>106</v>
      </c>
      <c r="M128" s="9" t="str">
        <f t="shared" si="2"/>
        <v>PROYECTO PETROSERVICIOS</v>
      </c>
      <c r="N128" s="9" t="s">
        <v>167</v>
      </c>
    </row>
    <row r="129" spans="1:19" s="13" customFormat="1" ht="50.1" customHeight="1" x14ac:dyDescent="0.25">
      <c r="A129" s="9" t="s">
        <v>373</v>
      </c>
      <c r="B129" s="12" t="s">
        <v>15</v>
      </c>
      <c r="C129" s="9">
        <v>1098605467</v>
      </c>
      <c r="D129" s="9" t="s">
        <v>374</v>
      </c>
      <c r="E129" s="23" t="s">
        <v>232</v>
      </c>
      <c r="F129" s="9" t="s">
        <v>107</v>
      </c>
      <c r="G129" s="11">
        <v>45407</v>
      </c>
      <c r="H129" s="9" t="s">
        <v>104</v>
      </c>
      <c r="I129" s="9">
        <v>3</v>
      </c>
      <c r="J129" s="16" t="e">
        <f>CONCATENATE(+#REF!,"E")</f>
        <v>#REF!</v>
      </c>
      <c r="K129" s="12" t="s">
        <v>372</v>
      </c>
      <c r="L129" s="9" t="s">
        <v>106</v>
      </c>
      <c r="M129" s="9" t="str">
        <f t="shared" si="2"/>
        <v>PROYECTO PETROSERVICIOS</v>
      </c>
      <c r="N129" s="9">
        <v>9135816</v>
      </c>
      <c r="S129" s="9"/>
    </row>
    <row r="130" spans="1:19" s="22" customFormat="1" ht="50.1" customHeight="1" x14ac:dyDescent="0.25">
      <c r="A130" s="15" t="s">
        <v>375</v>
      </c>
      <c r="B130" s="19" t="s">
        <v>15</v>
      </c>
      <c r="C130" s="15">
        <v>1098795831</v>
      </c>
      <c r="D130" s="15" t="s">
        <v>376</v>
      </c>
      <c r="E130" s="15" t="s">
        <v>232</v>
      </c>
      <c r="F130" s="15" t="s">
        <v>107</v>
      </c>
      <c r="G130" s="25">
        <v>45407</v>
      </c>
      <c r="H130" s="15" t="s">
        <v>104</v>
      </c>
      <c r="I130" s="15">
        <v>3</v>
      </c>
      <c r="J130" s="16" t="e">
        <f>CONCATENATE(+#REF!,"E")</f>
        <v>#REF!</v>
      </c>
      <c r="K130" s="12" t="s">
        <v>372</v>
      </c>
      <c r="L130" s="9" t="s">
        <v>106</v>
      </c>
      <c r="M130" s="15" t="str">
        <f t="shared" si="2"/>
        <v>PROYECTO PETROSERVICIOS</v>
      </c>
      <c r="N130" s="15">
        <v>9108440</v>
      </c>
      <c r="S130" s="15"/>
    </row>
    <row r="131" spans="1:19" s="13" customFormat="1" ht="50.1" customHeight="1" x14ac:dyDescent="0.25">
      <c r="A131" s="9" t="s">
        <v>377</v>
      </c>
      <c r="B131" s="12" t="s">
        <v>15</v>
      </c>
      <c r="C131" s="9">
        <v>1121941649</v>
      </c>
      <c r="D131" s="9" t="s">
        <v>378</v>
      </c>
      <c r="E131" s="23" t="s">
        <v>232</v>
      </c>
      <c r="F131" s="9" t="s">
        <v>107</v>
      </c>
      <c r="G131" s="11">
        <v>45475</v>
      </c>
      <c r="H131" s="9" t="s">
        <v>104</v>
      </c>
      <c r="I131" s="9">
        <v>3</v>
      </c>
      <c r="J131" s="16" t="e">
        <f>CONCATENATE(+#REF!,"E")</f>
        <v>#REF!</v>
      </c>
      <c r="K131" s="12" t="s">
        <v>379</v>
      </c>
      <c r="L131" s="9" t="s">
        <v>106</v>
      </c>
      <c r="M131" s="9" t="str">
        <f t="shared" si="2"/>
        <v>PROYECTO PETROSERVICIOS</v>
      </c>
      <c r="N131" s="9">
        <v>9770807</v>
      </c>
      <c r="S131" s="9"/>
    </row>
    <row r="132" spans="1:19" s="13" customFormat="1" ht="50.1" customHeight="1" x14ac:dyDescent="0.25">
      <c r="A132" s="9" t="s">
        <v>380</v>
      </c>
      <c r="B132" s="12" t="s">
        <v>15</v>
      </c>
      <c r="C132" s="9">
        <v>52455261</v>
      </c>
      <c r="D132" s="9" t="s">
        <v>381</v>
      </c>
      <c r="E132" s="23" t="s">
        <v>232</v>
      </c>
      <c r="F132" s="9" t="s">
        <v>107</v>
      </c>
      <c r="G132" s="11">
        <v>45475</v>
      </c>
      <c r="H132" s="9" t="s">
        <v>104</v>
      </c>
      <c r="I132" s="9">
        <v>3</v>
      </c>
      <c r="J132" s="16" t="e">
        <f>CONCATENATE(+#REF!,"E")</f>
        <v>#REF!</v>
      </c>
      <c r="K132" s="12" t="s">
        <v>379</v>
      </c>
      <c r="L132" s="9" t="s">
        <v>106</v>
      </c>
      <c r="M132" s="9" t="str">
        <f t="shared" si="2"/>
        <v>PROYECTO PETROSERVICIOS</v>
      </c>
      <c r="N132" s="9">
        <v>9770807</v>
      </c>
      <c r="S132" s="9"/>
    </row>
    <row r="133" spans="1:19" s="13" customFormat="1" ht="50.1" customHeight="1" x14ac:dyDescent="0.25">
      <c r="A133" s="9" t="s">
        <v>382</v>
      </c>
      <c r="B133" s="12" t="s">
        <v>15</v>
      </c>
      <c r="C133" s="9">
        <v>13959717</v>
      </c>
      <c r="D133" s="9" t="s">
        <v>383</v>
      </c>
      <c r="E133" s="23" t="s">
        <v>110</v>
      </c>
      <c r="F133" s="9" t="s">
        <v>107</v>
      </c>
      <c r="G133" s="11">
        <v>45475</v>
      </c>
      <c r="H133" s="9" t="s">
        <v>104</v>
      </c>
      <c r="I133" s="9">
        <v>3</v>
      </c>
      <c r="J133" s="16" t="e">
        <f>CONCATENATE(+#REF!,"E")</f>
        <v>#REF!</v>
      </c>
      <c r="K133" s="12" t="s">
        <v>379</v>
      </c>
      <c r="L133" s="9" t="s">
        <v>106</v>
      </c>
      <c r="M133" s="9" t="str">
        <f t="shared" si="2"/>
        <v>PROYECTO PETROSERVICIOS</v>
      </c>
      <c r="N133" s="9">
        <v>9770807</v>
      </c>
      <c r="S133" s="9"/>
    </row>
    <row r="134" spans="1:19" s="13" customFormat="1" ht="50.1" customHeight="1" x14ac:dyDescent="0.25">
      <c r="A134" s="9" t="s">
        <v>384</v>
      </c>
      <c r="B134" s="12" t="s">
        <v>15</v>
      </c>
      <c r="C134" s="9">
        <v>1101692935</v>
      </c>
      <c r="D134" s="9" t="s">
        <v>385</v>
      </c>
      <c r="E134" s="23" t="s">
        <v>232</v>
      </c>
      <c r="F134" s="9" t="s">
        <v>107</v>
      </c>
      <c r="G134" s="11">
        <v>45475</v>
      </c>
      <c r="H134" s="9" t="s">
        <v>104</v>
      </c>
      <c r="I134" s="9">
        <v>3</v>
      </c>
      <c r="J134" s="16" t="e">
        <f>CONCATENATE(+#REF!,"E")</f>
        <v>#REF!</v>
      </c>
      <c r="K134" s="12" t="s">
        <v>379</v>
      </c>
      <c r="L134" s="9" t="s">
        <v>106</v>
      </c>
      <c r="M134" s="9" t="str">
        <f t="shared" si="2"/>
        <v>PROYECTO PETROSERVICIOS</v>
      </c>
      <c r="N134" s="9">
        <v>9770807</v>
      </c>
      <c r="S134" s="9"/>
    </row>
    <row r="135" spans="1:19" s="13" customFormat="1" ht="50.1" customHeight="1" x14ac:dyDescent="0.25">
      <c r="A135" s="9" t="s">
        <v>386</v>
      </c>
      <c r="B135" s="12" t="s">
        <v>15</v>
      </c>
      <c r="C135" s="9">
        <v>74085101</v>
      </c>
      <c r="D135" s="9" t="s">
        <v>387</v>
      </c>
      <c r="E135" s="23" t="s">
        <v>388</v>
      </c>
      <c r="F135" s="9" t="s">
        <v>107</v>
      </c>
      <c r="G135" s="11">
        <v>45475</v>
      </c>
      <c r="H135" s="9" t="s">
        <v>104</v>
      </c>
      <c r="I135" s="9">
        <v>3</v>
      </c>
      <c r="J135" s="16" t="e">
        <f>CONCATENATE(+#REF!,"E")</f>
        <v>#REF!</v>
      </c>
      <c r="K135" s="12" t="s">
        <v>379</v>
      </c>
      <c r="L135" s="9" t="s">
        <v>106</v>
      </c>
      <c r="M135" s="9" t="str">
        <f t="shared" si="2"/>
        <v>PROYECTO PETROSERVICIOS</v>
      </c>
      <c r="N135" s="9">
        <v>9770807</v>
      </c>
      <c r="S135" s="9"/>
    </row>
    <row r="136" spans="1:19" s="13" customFormat="1" ht="50.1" customHeight="1" x14ac:dyDescent="0.25">
      <c r="A136" s="9" t="s">
        <v>389</v>
      </c>
      <c r="B136" s="12" t="s">
        <v>15</v>
      </c>
      <c r="C136" s="9">
        <v>1100961505</v>
      </c>
      <c r="D136" s="9" t="s">
        <v>390</v>
      </c>
      <c r="E136" s="23" t="s">
        <v>232</v>
      </c>
      <c r="F136" s="9" t="s">
        <v>107</v>
      </c>
      <c r="G136" s="11">
        <v>45475</v>
      </c>
      <c r="H136" s="9" t="s">
        <v>104</v>
      </c>
      <c r="I136" s="9">
        <v>3</v>
      </c>
      <c r="J136" s="16" t="e">
        <f>CONCATENATE(+#REF!,"E")</f>
        <v>#REF!</v>
      </c>
      <c r="K136" s="12" t="s">
        <v>379</v>
      </c>
      <c r="L136" s="9" t="s">
        <v>106</v>
      </c>
      <c r="M136" s="9" t="str">
        <f t="shared" si="2"/>
        <v>PROYECTO PETROSERVICIOS</v>
      </c>
      <c r="N136" s="9">
        <v>9770807</v>
      </c>
      <c r="S136" s="9"/>
    </row>
    <row r="137" spans="1:19" s="13" customFormat="1" ht="50.1" customHeight="1" x14ac:dyDescent="0.25">
      <c r="A137" s="9" t="s">
        <v>391</v>
      </c>
      <c r="B137" s="12" t="s">
        <v>15</v>
      </c>
      <c r="C137" s="9">
        <v>51781946</v>
      </c>
      <c r="D137" s="9" t="s">
        <v>392</v>
      </c>
      <c r="E137" s="23" t="s">
        <v>110</v>
      </c>
      <c r="F137" s="9" t="s">
        <v>107</v>
      </c>
      <c r="G137" s="11">
        <v>45475</v>
      </c>
      <c r="H137" s="9" t="s">
        <v>104</v>
      </c>
      <c r="I137" s="9">
        <v>3</v>
      </c>
      <c r="J137" s="16" t="e">
        <f>CONCATENATE(+#REF!,"E")</f>
        <v>#REF!</v>
      </c>
      <c r="K137" s="12" t="s">
        <v>379</v>
      </c>
      <c r="L137" s="9" t="s">
        <v>106</v>
      </c>
      <c r="M137" s="9" t="str">
        <f t="shared" si="2"/>
        <v>PROYECTO PETROSERVICIOS</v>
      </c>
      <c r="N137" s="9">
        <v>9770807</v>
      </c>
      <c r="S137" s="9"/>
    </row>
    <row r="138" spans="1:19" s="13" customFormat="1" ht="50.1" customHeight="1" x14ac:dyDescent="0.25">
      <c r="A138" s="9" t="s">
        <v>393</v>
      </c>
      <c r="B138" s="12" t="s">
        <v>15</v>
      </c>
      <c r="C138" s="9">
        <v>1091668362</v>
      </c>
      <c r="D138" s="16" t="s">
        <v>394</v>
      </c>
      <c r="E138" s="23" t="s">
        <v>232</v>
      </c>
      <c r="F138" s="9" t="s">
        <v>107</v>
      </c>
      <c r="G138" s="11">
        <v>45475</v>
      </c>
      <c r="H138" s="9" t="s">
        <v>104</v>
      </c>
      <c r="I138" s="9">
        <v>3</v>
      </c>
      <c r="J138" s="16" t="e">
        <f>CONCATENATE(+#REF!,"E")</f>
        <v>#REF!</v>
      </c>
      <c r="K138" s="12" t="s">
        <v>379</v>
      </c>
      <c r="L138" s="9" t="s">
        <v>106</v>
      </c>
      <c r="M138" s="9" t="str">
        <f t="shared" si="2"/>
        <v>PROYECTO PETROSERVICIOS</v>
      </c>
      <c r="N138" s="9">
        <v>9770807</v>
      </c>
      <c r="S138" s="9"/>
    </row>
    <row r="139" spans="1:19" s="13" customFormat="1" ht="50.1" customHeight="1" x14ac:dyDescent="0.25">
      <c r="A139" s="9" t="s">
        <v>395</v>
      </c>
      <c r="B139" s="12" t="s">
        <v>15</v>
      </c>
      <c r="C139" s="9">
        <v>1098681773</v>
      </c>
      <c r="D139" s="16" t="s">
        <v>396</v>
      </c>
      <c r="E139" s="23" t="s">
        <v>232</v>
      </c>
      <c r="F139" s="9" t="s">
        <v>107</v>
      </c>
      <c r="G139" s="11">
        <v>45475</v>
      </c>
      <c r="H139" s="9" t="s">
        <v>104</v>
      </c>
      <c r="I139" s="9">
        <v>3</v>
      </c>
      <c r="J139" s="16" t="e">
        <f>CONCATENATE(+#REF!,"E")</f>
        <v>#REF!</v>
      </c>
      <c r="K139" s="12" t="s">
        <v>379</v>
      </c>
      <c r="L139" s="9" t="s">
        <v>106</v>
      </c>
      <c r="M139" s="9" t="str">
        <f t="shared" si="2"/>
        <v>PROYECTO PETROSERVICIOS</v>
      </c>
      <c r="N139" s="9">
        <v>9770807</v>
      </c>
      <c r="S139" s="9"/>
    </row>
    <row r="140" spans="1:19" s="13" customFormat="1" ht="50.1" customHeight="1" x14ac:dyDescent="0.25">
      <c r="A140" s="9" t="s">
        <v>397</v>
      </c>
      <c r="B140" s="12" t="s">
        <v>15</v>
      </c>
      <c r="C140" s="9">
        <v>91527985</v>
      </c>
      <c r="D140" s="9" t="s">
        <v>398</v>
      </c>
      <c r="E140" s="23" t="s">
        <v>232</v>
      </c>
      <c r="F140" s="9" t="s">
        <v>107</v>
      </c>
      <c r="G140" s="11">
        <v>45475</v>
      </c>
      <c r="H140" s="9" t="s">
        <v>104</v>
      </c>
      <c r="I140" s="9">
        <v>3</v>
      </c>
      <c r="J140" s="16" t="e">
        <f>CONCATENATE(+#REF!,"E")</f>
        <v>#REF!</v>
      </c>
      <c r="K140" s="12" t="s">
        <v>379</v>
      </c>
      <c r="L140" s="9" t="s">
        <v>106</v>
      </c>
      <c r="M140" s="9" t="str">
        <f t="shared" si="2"/>
        <v>PROYECTO PETROSERVICIOS</v>
      </c>
      <c r="N140" s="9">
        <v>9770807</v>
      </c>
      <c r="S140" s="9"/>
    </row>
    <row r="141" spans="1:19" s="13" customFormat="1" ht="50.1" customHeight="1" x14ac:dyDescent="0.25">
      <c r="A141" s="9" t="s">
        <v>399</v>
      </c>
      <c r="B141" s="12" t="s">
        <v>15</v>
      </c>
      <c r="C141" s="9">
        <v>1098706838</v>
      </c>
      <c r="D141" s="9" t="s">
        <v>400</v>
      </c>
      <c r="E141" s="23" t="s">
        <v>232</v>
      </c>
      <c r="F141" s="9" t="s">
        <v>107</v>
      </c>
      <c r="G141" s="11">
        <v>45475</v>
      </c>
      <c r="H141" s="9" t="s">
        <v>104</v>
      </c>
      <c r="I141" s="9">
        <v>3</v>
      </c>
      <c r="J141" s="16" t="e">
        <f>CONCATENATE(+#REF!,"E")</f>
        <v>#REF!</v>
      </c>
      <c r="K141" s="12" t="s">
        <v>379</v>
      </c>
      <c r="L141" s="9" t="s">
        <v>106</v>
      </c>
      <c r="M141" s="9" t="str">
        <f t="shared" si="2"/>
        <v>PROYECTO PETROSERVICIOS</v>
      </c>
      <c r="N141" s="9">
        <v>9770807</v>
      </c>
      <c r="S141" s="9"/>
    </row>
    <row r="142" spans="1:19" s="13" customFormat="1" ht="50.1" customHeight="1" x14ac:dyDescent="0.25">
      <c r="A142" s="9" t="s">
        <v>401</v>
      </c>
      <c r="B142" s="12" t="s">
        <v>15</v>
      </c>
      <c r="C142" s="9">
        <v>1098758681</v>
      </c>
      <c r="D142" s="16" t="s">
        <v>402</v>
      </c>
      <c r="E142" s="23" t="s">
        <v>147</v>
      </c>
      <c r="F142" s="9" t="s">
        <v>107</v>
      </c>
      <c r="G142" s="11">
        <v>45475</v>
      </c>
      <c r="H142" s="9" t="s">
        <v>104</v>
      </c>
      <c r="I142" s="9">
        <v>3</v>
      </c>
      <c r="J142" s="16" t="e">
        <f>CONCATENATE(+#REF!,"E")</f>
        <v>#REF!</v>
      </c>
      <c r="K142" s="12" t="s">
        <v>379</v>
      </c>
      <c r="L142" s="9" t="s">
        <v>106</v>
      </c>
      <c r="M142" s="9" t="str">
        <f t="shared" si="2"/>
        <v>PROYECTO PETROSERVICIOS</v>
      </c>
      <c r="N142" s="9">
        <v>9770807</v>
      </c>
      <c r="S142" s="9"/>
    </row>
    <row r="143" spans="1:19" s="13" customFormat="1" ht="50.1" customHeight="1" x14ac:dyDescent="0.25">
      <c r="A143" s="9" t="s">
        <v>403</v>
      </c>
      <c r="B143" s="12" t="s">
        <v>15</v>
      </c>
      <c r="C143" s="9">
        <v>1065599609</v>
      </c>
      <c r="D143" s="16" t="s">
        <v>404</v>
      </c>
      <c r="E143" s="23" t="s">
        <v>232</v>
      </c>
      <c r="F143" s="9" t="s">
        <v>107</v>
      </c>
      <c r="G143" s="11">
        <v>45481</v>
      </c>
      <c r="H143" s="9" t="s">
        <v>104</v>
      </c>
      <c r="I143" s="9">
        <v>3</v>
      </c>
      <c r="J143" s="16" t="e">
        <f>CONCATENATE(+#REF!,"E")</f>
        <v>#REF!</v>
      </c>
      <c r="K143" s="12" t="s">
        <v>379</v>
      </c>
      <c r="L143" s="9" t="s">
        <v>106</v>
      </c>
      <c r="M143" s="9" t="str">
        <f t="shared" si="2"/>
        <v>PROYECTO PETROSERVICIOS</v>
      </c>
      <c r="N143" s="9">
        <v>9770807</v>
      </c>
      <c r="S143" s="9"/>
    </row>
    <row r="144" spans="1:19" s="13" customFormat="1" ht="50.1" customHeight="1" x14ac:dyDescent="0.25">
      <c r="A144" s="9" t="s">
        <v>405</v>
      </c>
      <c r="B144" s="12" t="s">
        <v>15</v>
      </c>
      <c r="C144" s="9">
        <v>1098692205</v>
      </c>
      <c r="D144" s="9" t="s">
        <v>406</v>
      </c>
      <c r="E144" s="23" t="s">
        <v>232</v>
      </c>
      <c r="F144" s="9" t="s">
        <v>107</v>
      </c>
      <c r="G144" s="11">
        <v>45481</v>
      </c>
      <c r="H144" s="9" t="s">
        <v>104</v>
      </c>
      <c r="I144" s="9">
        <v>3</v>
      </c>
      <c r="J144" s="16" t="e">
        <f>CONCATENATE(+#REF!,"E")</f>
        <v>#REF!</v>
      </c>
      <c r="K144" s="12" t="s">
        <v>379</v>
      </c>
      <c r="L144" s="9" t="s">
        <v>106</v>
      </c>
      <c r="M144" s="9" t="str">
        <f t="shared" si="2"/>
        <v>PROYECTO PETROSERVICIOS</v>
      </c>
      <c r="N144" s="9">
        <v>9770807</v>
      </c>
      <c r="S144" s="9"/>
    </row>
    <row r="145" spans="1:19" s="13" customFormat="1" ht="50.1" customHeight="1" x14ac:dyDescent="0.25">
      <c r="A145" s="9" t="s">
        <v>407</v>
      </c>
      <c r="B145" s="12" t="s">
        <v>15</v>
      </c>
      <c r="C145" s="9">
        <v>1101693549</v>
      </c>
      <c r="D145" s="9" t="s">
        <v>408</v>
      </c>
      <c r="E145" s="23" t="s">
        <v>232</v>
      </c>
      <c r="F145" s="9" t="s">
        <v>107</v>
      </c>
      <c r="G145" s="11">
        <v>45484</v>
      </c>
      <c r="H145" s="9" t="s">
        <v>104</v>
      </c>
      <c r="I145" s="9">
        <v>3</v>
      </c>
      <c r="J145" s="16" t="e">
        <f>CONCATENATE(+#REF!,"E")</f>
        <v>#REF!</v>
      </c>
      <c r="K145" s="12" t="s">
        <v>379</v>
      </c>
      <c r="L145" s="9" t="s">
        <v>106</v>
      </c>
      <c r="M145" s="9" t="str">
        <f t="shared" si="2"/>
        <v>PROYECTO PETROSERVICIOS</v>
      </c>
      <c r="N145" s="9">
        <v>9770807</v>
      </c>
    </row>
    <row r="146" spans="1:19" s="22" customFormat="1" ht="50.1" customHeight="1" x14ac:dyDescent="0.25">
      <c r="A146" s="15" t="s">
        <v>409</v>
      </c>
      <c r="B146" s="19" t="s">
        <v>15</v>
      </c>
      <c r="C146" s="15">
        <v>1016037506</v>
      </c>
      <c r="D146" s="15" t="s">
        <v>410</v>
      </c>
      <c r="E146" s="23" t="s">
        <v>232</v>
      </c>
      <c r="F146" s="15" t="s">
        <v>107</v>
      </c>
      <c r="G146" s="25">
        <v>45510</v>
      </c>
      <c r="H146" s="15" t="s">
        <v>104</v>
      </c>
      <c r="I146" s="15">
        <v>3</v>
      </c>
      <c r="J146" s="16" t="e">
        <f>CONCATENATE(+#REF!,"E")</f>
        <v>#REF!</v>
      </c>
      <c r="K146" s="19" t="s">
        <v>379</v>
      </c>
      <c r="L146" s="9" t="s">
        <v>106</v>
      </c>
      <c r="M146" s="15" t="str">
        <f t="shared" si="2"/>
        <v>PROYECTO PETROSERVICIOS</v>
      </c>
      <c r="N146" s="9">
        <v>9770807</v>
      </c>
      <c r="S146" s="15"/>
    </row>
    <row r="147" spans="1:19" s="13" customFormat="1" ht="50.1" customHeight="1" x14ac:dyDescent="0.25">
      <c r="A147" s="9" t="s">
        <v>411</v>
      </c>
      <c r="B147" s="9" t="s">
        <v>15</v>
      </c>
      <c r="C147" s="9">
        <v>17419403</v>
      </c>
      <c r="D147" s="16" t="s">
        <v>412</v>
      </c>
      <c r="E147" s="10" t="s">
        <v>413</v>
      </c>
      <c r="F147" s="9" t="s">
        <v>301</v>
      </c>
      <c r="G147" s="11">
        <v>44734</v>
      </c>
      <c r="H147" s="12" t="s">
        <v>39</v>
      </c>
      <c r="I147" s="9">
        <v>2</v>
      </c>
      <c r="J147" s="12" t="s">
        <v>414</v>
      </c>
      <c r="K147" s="12" t="s">
        <v>415</v>
      </c>
      <c r="L147" s="9" t="s">
        <v>416</v>
      </c>
      <c r="M147" s="9" t="s">
        <v>301</v>
      </c>
      <c r="N147" s="9"/>
    </row>
    <row r="148" spans="1:19" s="13" customFormat="1" ht="50.1" customHeight="1" x14ac:dyDescent="0.25">
      <c r="A148" s="9" t="s">
        <v>417</v>
      </c>
      <c r="B148" s="9" t="s">
        <v>15</v>
      </c>
      <c r="C148" s="9">
        <v>1006823525</v>
      </c>
      <c r="D148" s="9" t="s">
        <v>418</v>
      </c>
      <c r="E148" s="9" t="s">
        <v>419</v>
      </c>
      <c r="F148" s="9" t="s">
        <v>301</v>
      </c>
      <c r="G148" s="11">
        <v>45188</v>
      </c>
      <c r="H148" s="15" t="s">
        <v>420</v>
      </c>
      <c r="I148" s="15">
        <v>3</v>
      </c>
      <c r="J148" s="9" t="s">
        <v>421</v>
      </c>
      <c r="K148" s="12" t="s">
        <v>422</v>
      </c>
      <c r="L148" s="9" t="s">
        <v>416</v>
      </c>
      <c r="M148" s="9" t="s">
        <v>301</v>
      </c>
      <c r="N148" s="9"/>
    </row>
    <row r="149" spans="1:19" s="13" customFormat="1" ht="50.1" customHeight="1" x14ac:dyDescent="0.25">
      <c r="A149" s="9" t="s">
        <v>423</v>
      </c>
      <c r="B149" s="9" t="s">
        <v>15</v>
      </c>
      <c r="C149" s="9">
        <v>1121848186</v>
      </c>
      <c r="D149" s="9" t="s">
        <v>424</v>
      </c>
      <c r="E149" s="9" t="s">
        <v>425</v>
      </c>
      <c r="F149" s="9" t="s">
        <v>301</v>
      </c>
      <c r="G149" s="11">
        <v>45426</v>
      </c>
      <c r="H149" s="15" t="s">
        <v>420</v>
      </c>
      <c r="I149" s="15">
        <v>3</v>
      </c>
      <c r="J149" s="9" t="s">
        <v>426</v>
      </c>
      <c r="K149" s="9" t="s">
        <v>427</v>
      </c>
      <c r="L149" s="12" t="s">
        <v>30</v>
      </c>
      <c r="M149" s="9" t="s">
        <v>301</v>
      </c>
      <c r="N149" s="9"/>
    </row>
    <row r="150" spans="1:19" s="13" customFormat="1" ht="50.1" customHeight="1" x14ac:dyDescent="0.25">
      <c r="A150" s="9" t="s">
        <v>428</v>
      </c>
      <c r="B150" s="9" t="s">
        <v>15</v>
      </c>
      <c r="C150" s="9">
        <v>1007493802</v>
      </c>
      <c r="D150" s="9" t="s">
        <v>429</v>
      </c>
      <c r="E150" s="9" t="s">
        <v>430</v>
      </c>
      <c r="F150" s="9" t="s">
        <v>301</v>
      </c>
      <c r="G150" s="11">
        <v>44683</v>
      </c>
      <c r="H150" s="15" t="s">
        <v>52</v>
      </c>
      <c r="I150" s="15">
        <v>3</v>
      </c>
      <c r="J150" s="9" t="s">
        <v>431</v>
      </c>
      <c r="K150" s="9" t="s">
        <v>54</v>
      </c>
      <c r="L150" s="12" t="s">
        <v>55</v>
      </c>
      <c r="M150" s="9" t="s">
        <v>301</v>
      </c>
      <c r="N150" s="9"/>
    </row>
    <row r="151" spans="1:19" s="13" customFormat="1" ht="50.1" customHeight="1" x14ac:dyDescent="0.25">
      <c r="A151" s="9" t="s">
        <v>432</v>
      </c>
      <c r="B151" s="9" t="s">
        <v>15</v>
      </c>
      <c r="C151" s="9">
        <v>1136887341</v>
      </c>
      <c r="D151" s="9" t="s">
        <v>433</v>
      </c>
      <c r="E151" s="9" t="s">
        <v>434</v>
      </c>
      <c r="F151" s="9" t="s">
        <v>301</v>
      </c>
      <c r="G151" s="11">
        <v>44713</v>
      </c>
      <c r="H151" s="15" t="s">
        <v>420</v>
      </c>
      <c r="I151" s="15">
        <v>3</v>
      </c>
      <c r="J151" s="9" t="s">
        <v>435</v>
      </c>
      <c r="K151" s="9" t="s">
        <v>436</v>
      </c>
      <c r="L151" s="9" t="s">
        <v>416</v>
      </c>
      <c r="M151" s="9" t="s">
        <v>301</v>
      </c>
      <c r="N151" s="9"/>
    </row>
    <row r="152" spans="1:19" s="13" customFormat="1" ht="50.1" customHeight="1" x14ac:dyDescent="0.25">
      <c r="A152" s="9" t="s">
        <v>437</v>
      </c>
      <c r="B152" s="9" t="s">
        <v>15</v>
      </c>
      <c r="C152" s="9">
        <v>1004346165</v>
      </c>
      <c r="D152" s="9" t="s">
        <v>438</v>
      </c>
      <c r="E152" s="9" t="s">
        <v>434</v>
      </c>
      <c r="F152" s="9" t="s">
        <v>301</v>
      </c>
      <c r="G152" s="11">
        <v>45119</v>
      </c>
      <c r="H152" s="15" t="s">
        <v>420</v>
      </c>
      <c r="I152" s="15">
        <v>3</v>
      </c>
      <c r="J152" s="9" t="s">
        <v>421</v>
      </c>
      <c r="K152" s="12" t="s">
        <v>422</v>
      </c>
      <c r="L152" s="9" t="s">
        <v>416</v>
      </c>
      <c r="M152" s="9" t="s">
        <v>301</v>
      </c>
      <c r="N152" s="9"/>
    </row>
    <row r="153" spans="1:19" s="13" customFormat="1" ht="50.1" customHeight="1" x14ac:dyDescent="0.25">
      <c r="A153" s="9" t="s">
        <v>439</v>
      </c>
      <c r="B153" s="9" t="s">
        <v>15</v>
      </c>
      <c r="C153" s="9">
        <v>1022407009</v>
      </c>
      <c r="D153" s="9" t="s">
        <v>440</v>
      </c>
      <c r="E153" s="9" t="s">
        <v>441</v>
      </c>
      <c r="F153" s="9" t="s">
        <v>301</v>
      </c>
      <c r="G153" s="11">
        <v>45551</v>
      </c>
      <c r="H153" s="15" t="s">
        <v>420</v>
      </c>
      <c r="I153" s="15">
        <v>3</v>
      </c>
      <c r="J153" s="9" t="s">
        <v>442</v>
      </c>
      <c r="K153" s="9" t="s">
        <v>443</v>
      </c>
      <c r="L153" s="9" t="s">
        <v>416</v>
      </c>
      <c r="M153" s="9" t="s">
        <v>301</v>
      </c>
      <c r="N153" s="9"/>
    </row>
    <row r="154" spans="1:19" s="13" customFormat="1" ht="50.1" customHeight="1" x14ac:dyDescent="0.25">
      <c r="A154" s="9" t="s">
        <v>283</v>
      </c>
      <c r="B154" s="9" t="s">
        <v>15</v>
      </c>
      <c r="C154" s="9">
        <v>87454560</v>
      </c>
      <c r="D154" s="9" t="s">
        <v>284</v>
      </c>
      <c r="E154" s="9" t="s">
        <v>444</v>
      </c>
      <c r="F154" s="9" t="s">
        <v>301</v>
      </c>
      <c r="G154" s="11">
        <v>45503</v>
      </c>
      <c r="H154" s="15" t="s">
        <v>420</v>
      </c>
      <c r="I154" s="15">
        <v>3</v>
      </c>
      <c r="J154" s="9" t="s">
        <v>254</v>
      </c>
      <c r="K154" s="31" t="s">
        <v>249</v>
      </c>
      <c r="L154" s="9" t="s">
        <v>416</v>
      </c>
      <c r="M154" s="9" t="s">
        <v>301</v>
      </c>
      <c r="N154" s="9"/>
    </row>
    <row r="155" spans="1:19" s="13" customFormat="1" ht="50.1" customHeight="1" x14ac:dyDescent="0.25">
      <c r="A155" s="9" t="s">
        <v>445</v>
      </c>
      <c r="B155" s="9" t="s">
        <v>15</v>
      </c>
      <c r="C155" s="9">
        <v>1121869050</v>
      </c>
      <c r="D155" s="9" t="s">
        <v>446</v>
      </c>
      <c r="E155" s="9" t="s">
        <v>447</v>
      </c>
      <c r="F155" s="9" t="s">
        <v>301</v>
      </c>
      <c r="G155" s="11">
        <v>45505</v>
      </c>
      <c r="H155" s="15" t="s">
        <v>420</v>
      </c>
      <c r="I155" s="15">
        <v>3</v>
      </c>
      <c r="J155" s="9" t="s">
        <v>448</v>
      </c>
      <c r="K155" s="9" t="s">
        <v>249</v>
      </c>
      <c r="L155" s="9" t="s">
        <v>416</v>
      </c>
      <c r="M155" s="9" t="s">
        <v>301</v>
      </c>
      <c r="N155" s="9"/>
    </row>
    <row r="156" spans="1:19" s="13" customFormat="1" ht="50.1" customHeight="1" x14ac:dyDescent="0.25">
      <c r="A156" s="9" t="s">
        <v>449</v>
      </c>
      <c r="B156" s="9" t="s">
        <v>15</v>
      </c>
      <c r="C156" s="9">
        <v>9102183</v>
      </c>
      <c r="D156" s="9" t="s">
        <v>450</v>
      </c>
      <c r="E156" s="9" t="s">
        <v>447</v>
      </c>
      <c r="F156" s="9" t="s">
        <v>301</v>
      </c>
      <c r="G156" s="11">
        <v>45505</v>
      </c>
      <c r="H156" s="15" t="s">
        <v>420</v>
      </c>
      <c r="I156" s="15">
        <v>3</v>
      </c>
      <c r="J156" s="9" t="s">
        <v>448</v>
      </c>
      <c r="K156" s="9" t="s">
        <v>249</v>
      </c>
      <c r="L156" s="9" t="s">
        <v>416</v>
      </c>
      <c r="M156" s="9" t="s">
        <v>301</v>
      </c>
      <c r="N156" s="9"/>
    </row>
    <row r="157" spans="1:19" s="13" customFormat="1" ht="50.1" customHeight="1" x14ac:dyDescent="0.25">
      <c r="A157" s="9" t="s">
        <v>451</v>
      </c>
      <c r="B157" s="9" t="s">
        <v>15</v>
      </c>
      <c r="C157" s="9">
        <v>26430509</v>
      </c>
      <c r="D157" s="9" t="s">
        <v>452</v>
      </c>
      <c r="E157" s="9" t="s">
        <v>447</v>
      </c>
      <c r="F157" s="9" t="s">
        <v>301</v>
      </c>
      <c r="G157" s="11">
        <v>45505</v>
      </c>
      <c r="H157" s="15" t="s">
        <v>420</v>
      </c>
      <c r="I157" s="15">
        <v>3</v>
      </c>
      <c r="J157" s="9" t="s">
        <v>448</v>
      </c>
      <c r="K157" s="9" t="s">
        <v>249</v>
      </c>
      <c r="L157" s="9" t="s">
        <v>416</v>
      </c>
      <c r="M157" s="9" t="s">
        <v>301</v>
      </c>
      <c r="N157" s="9"/>
    </row>
    <row r="158" spans="1:19" s="13" customFormat="1" ht="50.1" customHeight="1" x14ac:dyDescent="0.25">
      <c r="A158" s="9" t="s">
        <v>453</v>
      </c>
      <c r="B158" s="9" t="s">
        <v>15</v>
      </c>
      <c r="C158" s="9">
        <v>1121825022</v>
      </c>
      <c r="D158" s="9" t="s">
        <v>454</v>
      </c>
      <c r="E158" s="9" t="s">
        <v>447</v>
      </c>
      <c r="F158" s="9" t="s">
        <v>301</v>
      </c>
      <c r="G158" s="11">
        <v>45505</v>
      </c>
      <c r="H158" s="15" t="s">
        <v>420</v>
      </c>
      <c r="I158" s="15">
        <v>3</v>
      </c>
      <c r="J158" s="9" t="s">
        <v>448</v>
      </c>
      <c r="K158" s="9" t="s">
        <v>249</v>
      </c>
      <c r="L158" s="9" t="s">
        <v>416</v>
      </c>
      <c r="M158" s="9" t="s">
        <v>301</v>
      </c>
      <c r="N158" s="9"/>
    </row>
    <row r="159" spans="1:19" s="13" customFormat="1" ht="50.1" customHeight="1" x14ac:dyDescent="0.25">
      <c r="A159" s="9" t="s">
        <v>455</v>
      </c>
      <c r="B159" s="9" t="s">
        <v>15</v>
      </c>
      <c r="C159" s="9">
        <v>1121871041</v>
      </c>
      <c r="D159" s="9" t="s">
        <v>456</v>
      </c>
      <c r="E159" s="9" t="s">
        <v>447</v>
      </c>
      <c r="F159" s="9" t="s">
        <v>301</v>
      </c>
      <c r="G159" s="11">
        <v>45505</v>
      </c>
      <c r="H159" s="15" t="s">
        <v>420</v>
      </c>
      <c r="I159" s="15">
        <v>3</v>
      </c>
      <c r="J159" s="9" t="s">
        <v>448</v>
      </c>
      <c r="K159" s="9" t="s">
        <v>249</v>
      </c>
      <c r="L159" s="9" t="s">
        <v>416</v>
      </c>
      <c r="M159" s="9" t="s">
        <v>301</v>
      </c>
      <c r="N159" s="9"/>
    </row>
    <row r="160" spans="1:19" s="13" customFormat="1" ht="50.1" customHeight="1" x14ac:dyDescent="0.25">
      <c r="A160" s="9" t="s">
        <v>457</v>
      </c>
      <c r="B160" s="32" t="s">
        <v>458</v>
      </c>
      <c r="C160" s="9">
        <v>6165500</v>
      </c>
      <c r="D160" s="9" t="s">
        <v>459</v>
      </c>
      <c r="E160" s="9" t="s">
        <v>447</v>
      </c>
      <c r="F160" s="9" t="s">
        <v>301</v>
      </c>
      <c r="G160" s="11">
        <v>45505</v>
      </c>
      <c r="H160" s="15" t="s">
        <v>420</v>
      </c>
      <c r="I160" s="15">
        <v>3</v>
      </c>
      <c r="J160" s="9" t="s">
        <v>448</v>
      </c>
      <c r="K160" s="9" t="s">
        <v>249</v>
      </c>
      <c r="L160" s="9" t="s">
        <v>416</v>
      </c>
      <c r="M160" s="9" t="s">
        <v>301</v>
      </c>
      <c r="N160" s="9"/>
    </row>
    <row r="161" spans="1:14" s="13" customFormat="1" ht="50.1" customHeight="1" x14ac:dyDescent="0.25">
      <c r="A161" s="9" t="s">
        <v>460</v>
      </c>
      <c r="B161" s="33" t="s">
        <v>458</v>
      </c>
      <c r="C161" s="9">
        <v>411134</v>
      </c>
      <c r="D161" s="9" t="s">
        <v>461</v>
      </c>
      <c r="E161" s="9" t="s">
        <v>447</v>
      </c>
      <c r="F161" s="9" t="s">
        <v>301</v>
      </c>
      <c r="G161" s="11">
        <v>45505</v>
      </c>
      <c r="H161" s="15" t="s">
        <v>420</v>
      </c>
      <c r="I161" s="15">
        <v>3</v>
      </c>
      <c r="J161" s="9" t="s">
        <v>448</v>
      </c>
      <c r="K161" s="9" t="s">
        <v>249</v>
      </c>
      <c r="L161" s="9" t="s">
        <v>416</v>
      </c>
      <c r="M161" s="9" t="s">
        <v>301</v>
      </c>
      <c r="N161" s="9"/>
    </row>
    <row r="162" spans="1:14" s="13" customFormat="1" ht="50.1" customHeight="1" x14ac:dyDescent="0.25">
      <c r="A162" s="9" t="s">
        <v>462</v>
      </c>
      <c r="B162" s="9" t="s">
        <v>15</v>
      </c>
      <c r="C162" s="9">
        <v>13874046</v>
      </c>
      <c r="D162" s="9" t="s">
        <v>463</v>
      </c>
      <c r="E162" s="9" t="s">
        <v>447</v>
      </c>
      <c r="F162" s="9" t="s">
        <v>301</v>
      </c>
      <c r="G162" s="11">
        <v>45505</v>
      </c>
      <c r="H162" s="15" t="s">
        <v>420</v>
      </c>
      <c r="I162" s="15">
        <v>3</v>
      </c>
      <c r="J162" s="9" t="s">
        <v>448</v>
      </c>
      <c r="K162" s="9" t="s">
        <v>249</v>
      </c>
      <c r="L162" s="9" t="s">
        <v>416</v>
      </c>
      <c r="M162" s="9" t="s">
        <v>301</v>
      </c>
      <c r="N162" s="9"/>
    </row>
    <row r="163" spans="1:14" s="13" customFormat="1" ht="50.1" customHeight="1" x14ac:dyDescent="0.25">
      <c r="A163" s="9" t="s">
        <v>464</v>
      </c>
      <c r="B163" s="9" t="s">
        <v>15</v>
      </c>
      <c r="C163" s="9">
        <v>1010185219</v>
      </c>
      <c r="D163" s="9" t="s">
        <v>465</v>
      </c>
      <c r="E163" s="9" t="s">
        <v>447</v>
      </c>
      <c r="F163" s="9" t="s">
        <v>301</v>
      </c>
      <c r="G163" s="11">
        <v>45505</v>
      </c>
      <c r="H163" s="15" t="s">
        <v>420</v>
      </c>
      <c r="I163" s="15">
        <v>3</v>
      </c>
      <c r="J163" s="9" t="s">
        <v>448</v>
      </c>
      <c r="K163" s="9" t="s">
        <v>249</v>
      </c>
      <c r="L163" s="9" t="s">
        <v>416</v>
      </c>
      <c r="M163" s="9" t="s">
        <v>301</v>
      </c>
      <c r="N163" s="9"/>
    </row>
    <row r="164" spans="1:14" s="13" customFormat="1" ht="50.1" customHeight="1" x14ac:dyDescent="0.25">
      <c r="A164" s="9" t="s">
        <v>466</v>
      </c>
      <c r="B164" s="9" t="s">
        <v>15</v>
      </c>
      <c r="C164" s="9">
        <v>37949528</v>
      </c>
      <c r="D164" s="9" t="s">
        <v>467</v>
      </c>
      <c r="E164" s="9" t="s">
        <v>447</v>
      </c>
      <c r="F164" s="9" t="s">
        <v>301</v>
      </c>
      <c r="G164" s="11">
        <v>45505</v>
      </c>
      <c r="H164" s="15" t="s">
        <v>420</v>
      </c>
      <c r="I164" s="15">
        <v>3</v>
      </c>
      <c r="J164" s="9" t="s">
        <v>448</v>
      </c>
      <c r="K164" s="9" t="s">
        <v>249</v>
      </c>
      <c r="L164" s="9" t="s">
        <v>416</v>
      </c>
      <c r="M164" s="9" t="s">
        <v>301</v>
      </c>
      <c r="N164" s="9"/>
    </row>
    <row r="165" spans="1:14" s="13" customFormat="1" ht="50.1" customHeight="1" x14ac:dyDescent="0.25">
      <c r="A165" s="9" t="s">
        <v>468</v>
      </c>
      <c r="B165" s="9" t="s">
        <v>15</v>
      </c>
      <c r="C165" s="9">
        <v>7723895</v>
      </c>
      <c r="D165" s="9" t="s">
        <v>469</v>
      </c>
      <c r="E165" s="9" t="s">
        <v>470</v>
      </c>
      <c r="F165" s="9" t="s">
        <v>301</v>
      </c>
      <c r="G165" s="11">
        <v>45507</v>
      </c>
      <c r="H165" s="15" t="s">
        <v>420</v>
      </c>
      <c r="I165" s="15">
        <v>3</v>
      </c>
      <c r="J165" s="9" t="s">
        <v>292</v>
      </c>
      <c r="K165" s="31" t="s">
        <v>249</v>
      </c>
      <c r="L165" s="9" t="s">
        <v>416</v>
      </c>
      <c r="M165" s="9" t="s">
        <v>301</v>
      </c>
      <c r="N165" s="9"/>
    </row>
    <row r="166" spans="1:14" s="13" customFormat="1" ht="50.1" customHeight="1" x14ac:dyDescent="0.25">
      <c r="A166" s="9" t="s">
        <v>471</v>
      </c>
      <c r="B166" s="9" t="s">
        <v>15</v>
      </c>
      <c r="C166" s="9">
        <v>86084413</v>
      </c>
      <c r="D166" s="9" t="s">
        <v>472</v>
      </c>
      <c r="E166" s="9" t="s">
        <v>470</v>
      </c>
      <c r="F166" s="9" t="s">
        <v>301</v>
      </c>
      <c r="G166" s="11">
        <v>45505</v>
      </c>
      <c r="H166" s="15" t="s">
        <v>420</v>
      </c>
      <c r="I166" s="15">
        <v>3</v>
      </c>
      <c r="J166" s="9" t="s">
        <v>292</v>
      </c>
      <c r="K166" s="31" t="s">
        <v>249</v>
      </c>
      <c r="L166" s="9" t="s">
        <v>416</v>
      </c>
      <c r="M166" s="9" t="s">
        <v>301</v>
      </c>
      <c r="N166" s="9"/>
    </row>
    <row r="167" spans="1:14" s="13" customFormat="1" ht="50.1" customHeight="1" x14ac:dyDescent="0.25">
      <c r="A167" s="9" t="s">
        <v>473</v>
      </c>
      <c r="B167" s="9" t="s">
        <v>15</v>
      </c>
      <c r="C167" s="9">
        <v>86068586</v>
      </c>
      <c r="D167" s="9" t="s">
        <v>474</v>
      </c>
      <c r="E167" s="9" t="s">
        <v>470</v>
      </c>
      <c r="F167" s="9" t="s">
        <v>301</v>
      </c>
      <c r="G167" s="11">
        <v>45507</v>
      </c>
      <c r="H167" s="15" t="s">
        <v>420</v>
      </c>
      <c r="I167" s="15">
        <v>3</v>
      </c>
      <c r="J167" s="9" t="s">
        <v>292</v>
      </c>
      <c r="K167" s="31" t="s">
        <v>249</v>
      </c>
      <c r="L167" s="9" t="s">
        <v>416</v>
      </c>
      <c r="M167" s="9" t="s">
        <v>301</v>
      </c>
      <c r="N167" s="9"/>
    </row>
    <row r="168" spans="1:14" s="13" customFormat="1" ht="50.1" customHeight="1" x14ac:dyDescent="0.25">
      <c r="A168" s="9" t="s">
        <v>475</v>
      </c>
      <c r="B168" s="9" t="s">
        <v>15</v>
      </c>
      <c r="C168" s="9">
        <v>12197484</v>
      </c>
      <c r="D168" s="9" t="s">
        <v>476</v>
      </c>
      <c r="E168" s="9" t="s">
        <v>470</v>
      </c>
      <c r="F168" s="9" t="s">
        <v>301</v>
      </c>
      <c r="G168" s="11">
        <v>45505</v>
      </c>
      <c r="H168" s="15" t="s">
        <v>420</v>
      </c>
      <c r="I168" s="15">
        <v>3</v>
      </c>
      <c r="J168" s="9" t="s">
        <v>292</v>
      </c>
      <c r="K168" s="31" t="s">
        <v>249</v>
      </c>
      <c r="L168" s="9" t="s">
        <v>416</v>
      </c>
      <c r="M168" s="9" t="s">
        <v>301</v>
      </c>
      <c r="N168" s="9"/>
    </row>
    <row r="169" spans="1:14" s="13" customFormat="1" ht="50.1" customHeight="1" x14ac:dyDescent="0.25">
      <c r="A169" s="9" t="s">
        <v>477</v>
      </c>
      <c r="B169" s="9" t="s">
        <v>15</v>
      </c>
      <c r="C169" s="9">
        <v>53014035</v>
      </c>
      <c r="D169" s="9" t="s">
        <v>478</v>
      </c>
      <c r="E169" s="9" t="s">
        <v>479</v>
      </c>
      <c r="F169" s="9" t="s">
        <v>301</v>
      </c>
      <c r="G169" s="11">
        <v>45505</v>
      </c>
      <c r="H169" s="15" t="s">
        <v>420</v>
      </c>
      <c r="I169" s="15">
        <v>3</v>
      </c>
      <c r="J169" s="9" t="s">
        <v>260</v>
      </c>
      <c r="K169" s="9" t="s">
        <v>249</v>
      </c>
      <c r="L169" s="9" t="s">
        <v>416</v>
      </c>
      <c r="M169" s="9" t="s">
        <v>301</v>
      </c>
      <c r="N169" s="9"/>
    </row>
    <row r="170" spans="1:14" s="13" customFormat="1" ht="50.1" customHeight="1" x14ac:dyDescent="0.25">
      <c r="A170" s="9" t="s">
        <v>480</v>
      </c>
      <c r="B170" s="9" t="s">
        <v>15</v>
      </c>
      <c r="C170" s="9">
        <v>1057580446</v>
      </c>
      <c r="D170" s="9" t="s">
        <v>481</v>
      </c>
      <c r="E170" s="9" t="s">
        <v>479</v>
      </c>
      <c r="F170" s="9" t="s">
        <v>301</v>
      </c>
      <c r="G170" s="11">
        <v>45505</v>
      </c>
      <c r="H170" s="15" t="s">
        <v>420</v>
      </c>
      <c r="I170" s="15">
        <v>3</v>
      </c>
      <c r="J170" s="9" t="s">
        <v>260</v>
      </c>
      <c r="K170" s="9" t="s">
        <v>249</v>
      </c>
      <c r="L170" s="9" t="s">
        <v>416</v>
      </c>
      <c r="M170" s="9" t="s">
        <v>301</v>
      </c>
      <c r="N170" s="9"/>
    </row>
    <row r="171" spans="1:14" s="13" customFormat="1" ht="50.1" customHeight="1" x14ac:dyDescent="0.25">
      <c r="A171" s="9" t="s">
        <v>482</v>
      </c>
      <c r="B171" s="9" t="s">
        <v>15</v>
      </c>
      <c r="C171" s="9">
        <v>1055313459</v>
      </c>
      <c r="D171" s="9" t="s">
        <v>483</v>
      </c>
      <c r="E171" s="9" t="s">
        <v>479</v>
      </c>
      <c r="F171" s="9" t="s">
        <v>301</v>
      </c>
      <c r="G171" s="11">
        <v>45505</v>
      </c>
      <c r="H171" s="15" t="s">
        <v>420</v>
      </c>
      <c r="I171" s="15">
        <v>3</v>
      </c>
      <c r="J171" s="9" t="s">
        <v>260</v>
      </c>
      <c r="K171" s="9" t="s">
        <v>249</v>
      </c>
      <c r="L171" s="9" t="s">
        <v>416</v>
      </c>
      <c r="M171" s="9" t="s">
        <v>301</v>
      </c>
      <c r="N171" s="9"/>
    </row>
    <row r="172" spans="1:14" s="13" customFormat="1" ht="50.1" customHeight="1" x14ac:dyDescent="0.25">
      <c r="A172" s="9" t="s">
        <v>484</v>
      </c>
      <c r="B172" s="9" t="s">
        <v>15</v>
      </c>
      <c r="C172" s="9">
        <v>74375671</v>
      </c>
      <c r="D172" s="9" t="s">
        <v>485</v>
      </c>
      <c r="E172" s="9" t="s">
        <v>486</v>
      </c>
      <c r="F172" s="9" t="s">
        <v>301</v>
      </c>
      <c r="G172" s="11">
        <v>45505</v>
      </c>
      <c r="H172" s="15" t="s">
        <v>420</v>
      </c>
      <c r="I172" s="15">
        <v>3</v>
      </c>
      <c r="J172" s="9" t="s">
        <v>264</v>
      </c>
      <c r="K172" s="9" t="s">
        <v>249</v>
      </c>
      <c r="L172" s="9" t="s">
        <v>416</v>
      </c>
      <c r="M172" s="9" t="s">
        <v>301</v>
      </c>
      <c r="N172" s="9"/>
    </row>
    <row r="173" spans="1:14" s="13" customFormat="1" ht="50.1" customHeight="1" x14ac:dyDescent="0.25">
      <c r="A173" s="9" t="s">
        <v>487</v>
      </c>
      <c r="B173" s="9" t="s">
        <v>15</v>
      </c>
      <c r="C173" s="9">
        <v>98398935</v>
      </c>
      <c r="D173" s="9" t="s">
        <v>488</v>
      </c>
      <c r="E173" s="9" t="s">
        <v>486</v>
      </c>
      <c r="F173" s="9" t="s">
        <v>301</v>
      </c>
      <c r="G173" s="11">
        <v>45511</v>
      </c>
      <c r="H173" s="15" t="s">
        <v>420</v>
      </c>
      <c r="I173" s="15">
        <v>3</v>
      </c>
      <c r="J173" s="9" t="s">
        <v>264</v>
      </c>
      <c r="K173" s="9" t="s">
        <v>249</v>
      </c>
      <c r="L173" s="9" t="s">
        <v>416</v>
      </c>
      <c r="M173" s="9" t="s">
        <v>301</v>
      </c>
      <c r="N173" s="9"/>
    </row>
    <row r="174" spans="1:14" s="13" customFormat="1" ht="50.1" customHeight="1" x14ac:dyDescent="0.25">
      <c r="A174" s="9" t="s">
        <v>489</v>
      </c>
      <c r="B174" s="9" t="s">
        <v>15</v>
      </c>
      <c r="C174" s="9">
        <v>71376583</v>
      </c>
      <c r="D174" s="9" t="s">
        <v>490</v>
      </c>
      <c r="E174" s="9" t="s">
        <v>491</v>
      </c>
      <c r="F174" s="9" t="s">
        <v>301</v>
      </c>
      <c r="G174" s="11">
        <v>45505</v>
      </c>
      <c r="H174" s="15" t="s">
        <v>420</v>
      </c>
      <c r="I174" s="15">
        <v>3</v>
      </c>
      <c r="J174" s="9" t="s">
        <v>268</v>
      </c>
      <c r="K174" s="9" t="s">
        <v>249</v>
      </c>
      <c r="L174" s="9" t="s">
        <v>416</v>
      </c>
      <c r="M174" s="9" t="s">
        <v>301</v>
      </c>
      <c r="N174" s="9"/>
    </row>
    <row r="175" spans="1:14" s="13" customFormat="1" ht="50.1" customHeight="1" x14ac:dyDescent="0.25">
      <c r="A175" s="9" t="s">
        <v>492</v>
      </c>
      <c r="B175" s="9" t="s">
        <v>15</v>
      </c>
      <c r="C175" s="9">
        <v>86057747</v>
      </c>
      <c r="D175" s="9" t="s">
        <v>493</v>
      </c>
      <c r="E175" s="9" t="s">
        <v>491</v>
      </c>
      <c r="F175" s="9" t="s">
        <v>301</v>
      </c>
      <c r="G175" s="11">
        <v>45505</v>
      </c>
      <c r="H175" s="15" t="s">
        <v>420</v>
      </c>
      <c r="I175" s="15">
        <v>3</v>
      </c>
      <c r="J175" s="9" t="s">
        <v>268</v>
      </c>
      <c r="K175" s="9" t="s">
        <v>249</v>
      </c>
      <c r="L175" s="9" t="s">
        <v>416</v>
      </c>
      <c r="M175" s="9" t="s">
        <v>301</v>
      </c>
      <c r="N175" s="9"/>
    </row>
    <row r="176" spans="1:14" s="13" customFormat="1" ht="50.1" customHeight="1" x14ac:dyDescent="0.25">
      <c r="A176" s="9" t="s">
        <v>494</v>
      </c>
      <c r="B176" s="9" t="s">
        <v>15</v>
      </c>
      <c r="C176" s="9">
        <v>1098622402</v>
      </c>
      <c r="D176" s="9" t="s">
        <v>495</v>
      </c>
      <c r="E176" s="9" t="s">
        <v>444</v>
      </c>
      <c r="F176" s="9" t="s">
        <v>301</v>
      </c>
      <c r="G176" s="11">
        <v>45511</v>
      </c>
      <c r="H176" s="15" t="s">
        <v>420</v>
      </c>
      <c r="I176" s="15">
        <v>3</v>
      </c>
      <c r="J176" s="9" t="s">
        <v>254</v>
      </c>
      <c r="K176" s="31" t="s">
        <v>249</v>
      </c>
      <c r="L176" s="9" t="s">
        <v>416</v>
      </c>
      <c r="M176" s="9" t="s">
        <v>301</v>
      </c>
      <c r="N176" s="9"/>
    </row>
    <row r="177" spans="1:14" s="13" customFormat="1" ht="50.1" customHeight="1" x14ac:dyDescent="0.25">
      <c r="A177" s="9" t="s">
        <v>496</v>
      </c>
      <c r="B177" s="9" t="s">
        <v>15</v>
      </c>
      <c r="C177" s="9">
        <v>7711125</v>
      </c>
      <c r="D177" s="9" t="s">
        <v>497</v>
      </c>
      <c r="E177" s="9" t="s">
        <v>486</v>
      </c>
      <c r="F177" s="9" t="s">
        <v>301</v>
      </c>
      <c r="G177" s="11">
        <v>45521</v>
      </c>
      <c r="H177" s="15" t="s">
        <v>420</v>
      </c>
      <c r="I177" s="15">
        <v>3</v>
      </c>
      <c r="J177" s="9" t="s">
        <v>264</v>
      </c>
      <c r="K177" s="9" t="s">
        <v>249</v>
      </c>
      <c r="L177" s="9" t="s">
        <v>416</v>
      </c>
      <c r="M177" s="9" t="s">
        <v>301</v>
      </c>
      <c r="N177" s="9"/>
    </row>
    <row r="178" spans="1:14" s="13" customFormat="1" ht="50.1" customHeight="1" x14ac:dyDescent="0.25">
      <c r="A178" s="9" t="s">
        <v>498</v>
      </c>
      <c r="B178" s="9" t="s">
        <v>15</v>
      </c>
      <c r="C178" s="9">
        <v>1082067533</v>
      </c>
      <c r="D178" s="9" t="s">
        <v>499</v>
      </c>
      <c r="E178" s="9" t="s">
        <v>470</v>
      </c>
      <c r="F178" s="9" t="s">
        <v>301</v>
      </c>
      <c r="G178" s="11">
        <v>45537</v>
      </c>
      <c r="H178" s="15" t="s">
        <v>420</v>
      </c>
      <c r="I178" s="15">
        <v>3</v>
      </c>
      <c r="J178" s="9" t="s">
        <v>292</v>
      </c>
      <c r="K178" s="31" t="s">
        <v>249</v>
      </c>
      <c r="L178" s="9" t="s">
        <v>416</v>
      </c>
      <c r="M178" s="9" t="s">
        <v>301</v>
      </c>
      <c r="N178" s="9"/>
    </row>
    <row r="179" spans="1:14" s="13" customFormat="1" ht="50.1" customHeight="1" x14ac:dyDescent="0.25">
      <c r="A179" s="9" t="s">
        <v>500</v>
      </c>
      <c r="B179" s="9" t="s">
        <v>15</v>
      </c>
      <c r="C179" s="9">
        <v>42116896</v>
      </c>
      <c r="D179" s="9" t="s">
        <v>501</v>
      </c>
      <c r="E179" s="9" t="s">
        <v>486</v>
      </c>
      <c r="F179" s="9" t="s">
        <v>301</v>
      </c>
      <c r="G179" s="11">
        <v>45586</v>
      </c>
      <c r="H179" s="15" t="s">
        <v>420</v>
      </c>
      <c r="I179" s="15">
        <v>3</v>
      </c>
      <c r="J179" s="9" t="s">
        <v>264</v>
      </c>
      <c r="K179" s="9" t="s">
        <v>249</v>
      </c>
      <c r="L179" s="9" t="s">
        <v>416</v>
      </c>
      <c r="M179" s="9" t="s">
        <v>301</v>
      </c>
      <c r="N179" s="9"/>
    </row>
    <row r="180" spans="1:14" s="13" customFormat="1" ht="50.1" customHeight="1" x14ac:dyDescent="0.25">
      <c r="A180" s="9" t="s">
        <v>502</v>
      </c>
      <c r="B180" s="9" t="s">
        <v>15</v>
      </c>
      <c r="C180" s="9">
        <v>86042335</v>
      </c>
      <c r="D180" s="9" t="s">
        <v>503</v>
      </c>
      <c r="E180" s="9" t="s">
        <v>491</v>
      </c>
      <c r="F180" s="9" t="s">
        <v>301</v>
      </c>
      <c r="G180" s="11">
        <v>45339</v>
      </c>
      <c r="H180" s="15" t="s">
        <v>420</v>
      </c>
      <c r="I180" s="15">
        <v>3</v>
      </c>
      <c r="J180" s="9" t="s">
        <v>268</v>
      </c>
      <c r="K180" s="9" t="s">
        <v>249</v>
      </c>
      <c r="L180" s="9" t="s">
        <v>416</v>
      </c>
      <c r="M180" s="9" t="s">
        <v>301</v>
      </c>
      <c r="N180" s="9"/>
    </row>
    <row r="181" spans="1:14" s="13" customFormat="1" ht="50.1" customHeight="1" x14ac:dyDescent="0.25">
      <c r="A181" s="9" t="s">
        <v>504</v>
      </c>
      <c r="B181" s="9" t="s">
        <v>15</v>
      </c>
      <c r="C181" s="9">
        <v>1002691928</v>
      </c>
      <c r="D181" s="9" t="s">
        <v>505</v>
      </c>
      <c r="E181" s="9" t="s">
        <v>506</v>
      </c>
      <c r="F181" s="9" t="s">
        <v>301</v>
      </c>
      <c r="G181" s="11">
        <v>45339</v>
      </c>
      <c r="H181" s="15" t="s">
        <v>420</v>
      </c>
      <c r="I181" s="15">
        <v>3</v>
      </c>
      <c r="J181" s="9" t="s">
        <v>248</v>
      </c>
      <c r="K181" s="9" t="s">
        <v>249</v>
      </c>
      <c r="L181" s="9" t="s">
        <v>416</v>
      </c>
      <c r="M181" s="9" t="s">
        <v>301</v>
      </c>
      <c r="N181" s="9"/>
    </row>
    <row r="182" spans="1:14" s="13" customFormat="1" ht="50.1" customHeight="1" x14ac:dyDescent="0.25">
      <c r="A182" s="9" t="s">
        <v>507</v>
      </c>
      <c r="B182" s="9" t="s">
        <v>15</v>
      </c>
      <c r="C182" s="9">
        <v>1019099925</v>
      </c>
      <c r="D182" s="9" t="s">
        <v>508</v>
      </c>
      <c r="E182" s="9" t="s">
        <v>509</v>
      </c>
      <c r="F182" s="9" t="s">
        <v>301</v>
      </c>
      <c r="G182" s="11">
        <v>45341</v>
      </c>
      <c r="H182" s="15" t="s">
        <v>420</v>
      </c>
      <c r="I182" s="15">
        <v>3</v>
      </c>
      <c r="J182" s="9" t="s">
        <v>510</v>
      </c>
      <c r="K182" s="9" t="s">
        <v>249</v>
      </c>
      <c r="L182" s="9" t="s">
        <v>416</v>
      </c>
      <c r="M182" s="9" t="s">
        <v>301</v>
      </c>
      <c r="N182" s="9"/>
    </row>
    <row r="183" spans="1:14" s="13" customFormat="1" ht="50.1" customHeight="1" x14ac:dyDescent="0.25">
      <c r="A183" s="9" t="s">
        <v>511</v>
      </c>
      <c r="B183" s="9" t="s">
        <v>15</v>
      </c>
      <c r="C183" s="9">
        <v>1013678265</v>
      </c>
      <c r="D183" s="9" t="s">
        <v>512</v>
      </c>
      <c r="E183" s="9" t="s">
        <v>506</v>
      </c>
      <c r="F183" s="9" t="s">
        <v>301</v>
      </c>
      <c r="G183" s="11">
        <v>45341</v>
      </c>
      <c r="H183" s="15" t="s">
        <v>420</v>
      </c>
      <c r="I183" s="15">
        <v>3</v>
      </c>
      <c r="J183" s="9" t="s">
        <v>248</v>
      </c>
      <c r="K183" s="9" t="s">
        <v>249</v>
      </c>
      <c r="L183" s="9" t="s">
        <v>416</v>
      </c>
      <c r="M183" s="9" t="s">
        <v>301</v>
      </c>
      <c r="N183" s="9"/>
    </row>
    <row r="184" spans="1:14" s="13" customFormat="1" ht="50.1" customHeight="1" x14ac:dyDescent="0.25">
      <c r="A184" s="9" t="s">
        <v>513</v>
      </c>
      <c r="B184" s="9" t="s">
        <v>15</v>
      </c>
      <c r="C184" s="9">
        <v>86075700</v>
      </c>
      <c r="D184" s="9" t="s">
        <v>514</v>
      </c>
      <c r="E184" s="9" t="s">
        <v>470</v>
      </c>
      <c r="F184" s="9" t="s">
        <v>301</v>
      </c>
      <c r="G184" s="11">
        <v>45341</v>
      </c>
      <c r="H184" s="15" t="s">
        <v>420</v>
      </c>
      <c r="I184" s="15">
        <v>3</v>
      </c>
      <c r="J184" s="9" t="s">
        <v>292</v>
      </c>
      <c r="K184" s="31" t="s">
        <v>249</v>
      </c>
      <c r="L184" s="9" t="s">
        <v>416</v>
      </c>
      <c r="M184" s="9" t="s">
        <v>301</v>
      </c>
      <c r="N184" s="9"/>
    </row>
    <row r="185" spans="1:14" s="13" customFormat="1" ht="50.1" customHeight="1" x14ac:dyDescent="0.25">
      <c r="A185" s="9" t="s">
        <v>515</v>
      </c>
      <c r="B185" s="9" t="s">
        <v>15</v>
      </c>
      <c r="C185" s="9">
        <v>12136584</v>
      </c>
      <c r="D185" s="9" t="s">
        <v>516</v>
      </c>
      <c r="E185" s="9" t="s">
        <v>486</v>
      </c>
      <c r="F185" s="9" t="s">
        <v>301</v>
      </c>
      <c r="G185" s="11">
        <v>45518</v>
      </c>
      <c r="H185" s="15" t="s">
        <v>420</v>
      </c>
      <c r="I185" s="15">
        <v>3</v>
      </c>
      <c r="J185" s="9" t="s">
        <v>264</v>
      </c>
      <c r="K185" s="9" t="s">
        <v>249</v>
      </c>
      <c r="L185" s="9" t="s">
        <v>416</v>
      </c>
      <c r="M185" s="9" t="s">
        <v>301</v>
      </c>
      <c r="N185" s="9"/>
    </row>
    <row r="186" spans="1:14" s="13" customFormat="1" ht="50.1" customHeight="1" x14ac:dyDescent="0.25">
      <c r="A186" s="9" t="s">
        <v>517</v>
      </c>
      <c r="B186" s="9" t="s">
        <v>15</v>
      </c>
      <c r="C186" s="9">
        <v>13707063</v>
      </c>
      <c r="D186" s="9" t="s">
        <v>518</v>
      </c>
      <c r="E186" s="9" t="s">
        <v>491</v>
      </c>
      <c r="F186" s="9" t="s">
        <v>301</v>
      </c>
      <c r="G186" s="11">
        <v>45527</v>
      </c>
      <c r="H186" s="15" t="s">
        <v>420</v>
      </c>
      <c r="I186" s="15">
        <v>3</v>
      </c>
      <c r="J186" s="9" t="s">
        <v>268</v>
      </c>
      <c r="K186" s="9" t="s">
        <v>249</v>
      </c>
      <c r="L186" s="9" t="s">
        <v>416</v>
      </c>
      <c r="M186" s="9" t="s">
        <v>301</v>
      </c>
      <c r="N186" s="9"/>
    </row>
    <row r="187" spans="1:14" s="13" customFormat="1" ht="50.1" customHeight="1" x14ac:dyDescent="0.25">
      <c r="A187" s="9" t="s">
        <v>519</v>
      </c>
      <c r="B187" s="9" t="s">
        <v>15</v>
      </c>
      <c r="C187" s="9">
        <v>1122135336</v>
      </c>
      <c r="D187" s="9" t="s">
        <v>520</v>
      </c>
      <c r="E187" s="9" t="s">
        <v>521</v>
      </c>
      <c r="F187" s="9" t="s">
        <v>301</v>
      </c>
      <c r="G187" s="11">
        <v>45537</v>
      </c>
      <c r="H187" s="15" t="s">
        <v>420</v>
      </c>
      <c r="I187" s="15">
        <v>3</v>
      </c>
      <c r="J187" s="9" t="s">
        <v>522</v>
      </c>
      <c r="K187" s="9" t="s">
        <v>523</v>
      </c>
      <c r="L187" s="9" t="s">
        <v>416</v>
      </c>
      <c r="M187" s="9" t="s">
        <v>301</v>
      </c>
      <c r="N187" s="9"/>
    </row>
    <row r="188" spans="1:14" s="13" customFormat="1" ht="50.1" customHeight="1" x14ac:dyDescent="0.25">
      <c r="A188" s="9" t="s">
        <v>524</v>
      </c>
      <c r="B188" s="9" t="s">
        <v>15</v>
      </c>
      <c r="C188" s="9">
        <v>1065810992</v>
      </c>
      <c r="D188" s="9" t="s">
        <v>525</v>
      </c>
      <c r="E188" s="9" t="s">
        <v>509</v>
      </c>
      <c r="F188" s="9" t="s">
        <v>301</v>
      </c>
      <c r="G188" s="11">
        <v>45545</v>
      </c>
      <c r="H188" s="15" t="s">
        <v>420</v>
      </c>
      <c r="I188" s="15">
        <v>3</v>
      </c>
      <c r="J188" s="9" t="s">
        <v>510</v>
      </c>
      <c r="K188" s="9" t="s">
        <v>249</v>
      </c>
      <c r="L188" s="9" t="s">
        <v>416</v>
      </c>
      <c r="M188" s="9" t="s">
        <v>301</v>
      </c>
      <c r="N188" s="9"/>
    </row>
    <row r="189" spans="1:14" s="13" customFormat="1" ht="50.1" customHeight="1" x14ac:dyDescent="0.25">
      <c r="A189" s="9" t="s">
        <v>317</v>
      </c>
      <c r="B189" s="9" t="s">
        <v>15</v>
      </c>
      <c r="C189" s="9">
        <v>88281896</v>
      </c>
      <c r="D189" s="9" t="s">
        <v>318</v>
      </c>
      <c r="E189" s="9" t="s">
        <v>486</v>
      </c>
      <c r="F189" s="9" t="s">
        <v>301</v>
      </c>
      <c r="G189" s="11">
        <v>45566</v>
      </c>
      <c r="H189" s="15" t="s">
        <v>420</v>
      </c>
      <c r="I189" s="15">
        <v>3</v>
      </c>
      <c r="J189" s="9" t="s">
        <v>264</v>
      </c>
      <c r="K189" s="9" t="s">
        <v>249</v>
      </c>
      <c r="L189" s="9" t="s">
        <v>416</v>
      </c>
      <c r="M189" s="9" t="s">
        <v>301</v>
      </c>
      <c r="N189" s="9"/>
    </row>
    <row r="190" spans="1:14" s="13" customFormat="1" ht="50.1" customHeight="1" x14ac:dyDescent="0.25">
      <c r="A190" s="9" t="s">
        <v>526</v>
      </c>
      <c r="B190" s="9" t="s">
        <v>15</v>
      </c>
      <c r="C190" s="9">
        <v>13700520</v>
      </c>
      <c r="D190" s="9" t="s">
        <v>527</v>
      </c>
      <c r="E190" s="9" t="s">
        <v>486</v>
      </c>
      <c r="F190" s="9" t="s">
        <v>301</v>
      </c>
      <c r="G190" s="11">
        <v>45566</v>
      </c>
      <c r="H190" s="15" t="s">
        <v>420</v>
      </c>
      <c r="I190" s="15">
        <v>3</v>
      </c>
      <c r="J190" s="9" t="s">
        <v>264</v>
      </c>
      <c r="K190" s="9" t="s">
        <v>249</v>
      </c>
      <c r="L190" s="9" t="s">
        <v>416</v>
      </c>
      <c r="M190" s="9" t="s">
        <v>301</v>
      </c>
      <c r="N190" s="9"/>
    </row>
    <row r="191" spans="1:14" s="13" customFormat="1" ht="50.1" customHeight="1" x14ac:dyDescent="0.25">
      <c r="A191" s="9" t="s">
        <v>528</v>
      </c>
      <c r="B191" s="9" t="s">
        <v>15</v>
      </c>
      <c r="C191" s="9">
        <v>1077173073</v>
      </c>
      <c r="D191" s="9" t="s">
        <v>529</v>
      </c>
      <c r="E191" s="9" t="s">
        <v>491</v>
      </c>
      <c r="F191" s="9" t="s">
        <v>301</v>
      </c>
      <c r="G191" s="11">
        <v>45566</v>
      </c>
      <c r="H191" s="15" t="s">
        <v>420</v>
      </c>
      <c r="I191" s="15">
        <v>3</v>
      </c>
      <c r="J191" s="9" t="s">
        <v>268</v>
      </c>
      <c r="K191" s="9" t="s">
        <v>249</v>
      </c>
      <c r="L191" s="9" t="s">
        <v>416</v>
      </c>
      <c r="M191" s="9" t="s">
        <v>301</v>
      </c>
      <c r="N191" s="9"/>
    </row>
    <row r="192" spans="1:14" s="13" customFormat="1" ht="50.1" customHeight="1" x14ac:dyDescent="0.25">
      <c r="A192" s="9" t="s">
        <v>530</v>
      </c>
      <c r="B192" s="9" t="s">
        <v>15</v>
      </c>
      <c r="C192" s="9">
        <v>86072643</v>
      </c>
      <c r="D192" s="9" t="s">
        <v>531</v>
      </c>
      <c r="E192" s="9" t="s">
        <v>491</v>
      </c>
      <c r="F192" s="9" t="s">
        <v>301</v>
      </c>
      <c r="G192" s="11">
        <v>45566</v>
      </c>
      <c r="H192" s="15" t="s">
        <v>420</v>
      </c>
      <c r="I192" s="15">
        <v>3</v>
      </c>
      <c r="J192" s="9" t="s">
        <v>268</v>
      </c>
      <c r="K192" s="9" t="s">
        <v>249</v>
      </c>
      <c r="L192" s="9" t="s">
        <v>416</v>
      </c>
      <c r="M192" s="9" t="s">
        <v>301</v>
      </c>
      <c r="N192" s="9"/>
    </row>
    <row r="193" spans="1:14" s="13" customFormat="1" ht="50.1" customHeight="1" x14ac:dyDescent="0.25">
      <c r="A193" s="9" t="s">
        <v>532</v>
      </c>
      <c r="B193" s="9" t="s">
        <v>15</v>
      </c>
      <c r="C193" s="9">
        <v>7161987</v>
      </c>
      <c r="D193" s="9" t="s">
        <v>533</v>
      </c>
      <c r="E193" s="9" t="s">
        <v>491</v>
      </c>
      <c r="F193" s="9" t="s">
        <v>301</v>
      </c>
      <c r="G193" s="11">
        <v>45566</v>
      </c>
      <c r="H193" s="15" t="s">
        <v>420</v>
      </c>
      <c r="I193" s="15">
        <v>3</v>
      </c>
      <c r="J193" s="9" t="s">
        <v>268</v>
      </c>
      <c r="K193" s="9" t="s">
        <v>249</v>
      </c>
      <c r="L193" s="9" t="s">
        <v>416</v>
      </c>
      <c r="M193" s="9" t="s">
        <v>301</v>
      </c>
      <c r="N193" s="9"/>
    </row>
    <row r="194" spans="1:14" s="13" customFormat="1" ht="50.1" customHeight="1" x14ac:dyDescent="0.25">
      <c r="A194" s="9" t="s">
        <v>534</v>
      </c>
      <c r="B194" s="9" t="s">
        <v>15</v>
      </c>
      <c r="C194" s="9">
        <v>91285174</v>
      </c>
      <c r="D194" s="9" t="s">
        <v>535</v>
      </c>
      <c r="E194" s="9" t="s">
        <v>491</v>
      </c>
      <c r="F194" s="9" t="s">
        <v>301</v>
      </c>
      <c r="G194" s="11">
        <v>45566</v>
      </c>
      <c r="H194" s="15" t="s">
        <v>420</v>
      </c>
      <c r="I194" s="15">
        <v>3</v>
      </c>
      <c r="J194" s="9" t="s">
        <v>268</v>
      </c>
      <c r="K194" s="9" t="s">
        <v>249</v>
      </c>
      <c r="L194" s="9" t="s">
        <v>416</v>
      </c>
      <c r="M194" s="9" t="s">
        <v>301</v>
      </c>
      <c r="N194" s="9"/>
    </row>
    <row r="195" spans="1:14" s="13" customFormat="1" ht="50.1" customHeight="1" x14ac:dyDescent="0.25">
      <c r="A195" s="9" t="s">
        <v>536</v>
      </c>
      <c r="B195" s="9" t="s">
        <v>15</v>
      </c>
      <c r="C195" s="9">
        <v>11189101</v>
      </c>
      <c r="D195" s="9" t="s">
        <v>537</v>
      </c>
      <c r="E195" s="9" t="s">
        <v>491</v>
      </c>
      <c r="F195" s="9" t="s">
        <v>301</v>
      </c>
      <c r="G195" s="11">
        <v>45566</v>
      </c>
      <c r="H195" s="15" t="s">
        <v>420</v>
      </c>
      <c r="I195" s="15">
        <v>3</v>
      </c>
      <c r="J195" s="9" t="s">
        <v>268</v>
      </c>
      <c r="K195" s="9" t="s">
        <v>249</v>
      </c>
      <c r="L195" s="9" t="s">
        <v>416</v>
      </c>
      <c r="M195" s="9" t="s">
        <v>301</v>
      </c>
      <c r="N195" s="9"/>
    </row>
    <row r="196" spans="1:14" s="13" customFormat="1" ht="50.1" customHeight="1" x14ac:dyDescent="0.25">
      <c r="A196" s="9" t="s">
        <v>538</v>
      </c>
      <c r="B196" s="9" t="s">
        <v>15</v>
      </c>
      <c r="C196" s="9">
        <v>13871188</v>
      </c>
      <c r="D196" s="9" t="s">
        <v>539</v>
      </c>
      <c r="E196" s="9" t="s">
        <v>491</v>
      </c>
      <c r="F196" s="9" t="s">
        <v>301</v>
      </c>
      <c r="G196" s="11">
        <v>45568</v>
      </c>
      <c r="H196" s="15" t="s">
        <v>420</v>
      </c>
      <c r="I196" s="15">
        <v>3</v>
      </c>
      <c r="J196" s="9" t="s">
        <v>268</v>
      </c>
      <c r="K196" s="9" t="s">
        <v>249</v>
      </c>
      <c r="L196" s="9" t="s">
        <v>416</v>
      </c>
      <c r="M196" s="9" t="s">
        <v>301</v>
      </c>
      <c r="N196" s="9"/>
    </row>
    <row r="197" spans="1:14" s="13" customFormat="1" ht="50.1" customHeight="1" x14ac:dyDescent="0.25">
      <c r="A197" s="9" t="s">
        <v>540</v>
      </c>
      <c r="B197" s="9" t="s">
        <v>15</v>
      </c>
      <c r="C197" s="9">
        <v>13481943</v>
      </c>
      <c r="D197" s="9" t="s">
        <v>541</v>
      </c>
      <c r="E197" s="9" t="s">
        <v>542</v>
      </c>
      <c r="F197" s="9" t="s">
        <v>301</v>
      </c>
      <c r="G197" s="11">
        <v>45566</v>
      </c>
      <c r="H197" s="15" t="s">
        <v>420</v>
      </c>
      <c r="I197" s="15">
        <v>3</v>
      </c>
      <c r="J197" s="9" t="s">
        <v>272</v>
      </c>
      <c r="K197" s="9" t="s">
        <v>249</v>
      </c>
      <c r="L197" s="9" t="s">
        <v>416</v>
      </c>
      <c r="M197" s="9" t="s">
        <v>301</v>
      </c>
      <c r="N197" s="9"/>
    </row>
    <row r="198" spans="1:14" s="13" customFormat="1" ht="50.1" customHeight="1" x14ac:dyDescent="0.25">
      <c r="A198" s="9" t="s">
        <v>543</v>
      </c>
      <c r="B198" s="9" t="s">
        <v>15</v>
      </c>
      <c r="C198" s="9">
        <v>74362501</v>
      </c>
      <c r="D198" s="9" t="s">
        <v>544</v>
      </c>
      <c r="E198" s="9" t="s">
        <v>542</v>
      </c>
      <c r="F198" s="9" t="s">
        <v>301</v>
      </c>
      <c r="G198" s="11">
        <v>45566</v>
      </c>
      <c r="H198" s="15" t="s">
        <v>420</v>
      </c>
      <c r="I198" s="15">
        <v>3</v>
      </c>
      <c r="J198" s="9" t="s">
        <v>272</v>
      </c>
      <c r="K198" s="9" t="s">
        <v>249</v>
      </c>
      <c r="L198" s="9" t="s">
        <v>416</v>
      </c>
      <c r="M198" s="9" t="s">
        <v>301</v>
      </c>
      <c r="N198" s="9"/>
    </row>
    <row r="199" spans="1:14" s="13" customFormat="1" ht="50.1" customHeight="1" x14ac:dyDescent="0.25">
      <c r="A199" s="9" t="s">
        <v>545</v>
      </c>
      <c r="B199" s="9" t="s">
        <v>15</v>
      </c>
      <c r="C199" s="9">
        <v>80150738</v>
      </c>
      <c r="D199" s="9" t="s">
        <v>546</v>
      </c>
      <c r="E199" s="9" t="s">
        <v>547</v>
      </c>
      <c r="F199" s="9" t="s">
        <v>301</v>
      </c>
      <c r="G199" s="11">
        <v>45566</v>
      </c>
      <c r="H199" s="15" t="s">
        <v>420</v>
      </c>
      <c r="I199" s="15">
        <v>3</v>
      </c>
      <c r="J199" s="9" t="s">
        <v>272</v>
      </c>
      <c r="K199" s="9" t="s">
        <v>249</v>
      </c>
      <c r="L199" s="9" t="s">
        <v>416</v>
      </c>
      <c r="M199" s="9" t="s">
        <v>301</v>
      </c>
      <c r="N199" s="9"/>
    </row>
    <row r="200" spans="1:14" s="13" customFormat="1" ht="50.1" customHeight="1" x14ac:dyDescent="0.25">
      <c r="A200" s="9" t="s">
        <v>548</v>
      </c>
      <c r="B200" s="9" t="s">
        <v>15</v>
      </c>
      <c r="C200" s="9">
        <v>79208337</v>
      </c>
      <c r="D200" s="9" t="s">
        <v>549</v>
      </c>
      <c r="E200" s="9" t="s">
        <v>550</v>
      </c>
      <c r="F200" s="9" t="s">
        <v>301</v>
      </c>
      <c r="G200" s="11">
        <v>45566</v>
      </c>
      <c r="H200" s="15" t="s">
        <v>420</v>
      </c>
      <c r="I200" s="15">
        <v>3</v>
      </c>
      <c r="J200" s="9" t="s">
        <v>551</v>
      </c>
      <c r="K200" s="9" t="s">
        <v>249</v>
      </c>
      <c r="L200" s="9" t="s">
        <v>416</v>
      </c>
      <c r="M200" s="9" t="s">
        <v>301</v>
      </c>
      <c r="N200" s="9"/>
    </row>
    <row r="201" spans="1:14" s="13" customFormat="1" ht="50.1" customHeight="1" x14ac:dyDescent="0.25">
      <c r="A201" s="9" t="s">
        <v>552</v>
      </c>
      <c r="B201" s="9" t="s">
        <v>15</v>
      </c>
      <c r="C201" s="9">
        <v>1032461712</v>
      </c>
      <c r="D201" s="9" t="s">
        <v>553</v>
      </c>
      <c r="E201" s="9" t="s">
        <v>447</v>
      </c>
      <c r="F201" s="9" t="s">
        <v>301</v>
      </c>
      <c r="G201" s="11">
        <v>45566</v>
      </c>
      <c r="H201" s="15" t="s">
        <v>420</v>
      </c>
      <c r="I201" s="15">
        <v>3</v>
      </c>
      <c r="J201" s="9" t="s">
        <v>448</v>
      </c>
      <c r="K201" s="9" t="s">
        <v>249</v>
      </c>
      <c r="L201" s="9" t="s">
        <v>416</v>
      </c>
      <c r="M201" s="9" t="s">
        <v>301</v>
      </c>
      <c r="N201" s="9"/>
    </row>
    <row r="202" spans="1:14" s="13" customFormat="1" ht="50.1" customHeight="1" x14ac:dyDescent="0.25">
      <c r="A202" s="9" t="s">
        <v>554</v>
      </c>
      <c r="B202" s="9" t="s">
        <v>15</v>
      </c>
      <c r="C202" s="9">
        <v>1115914517</v>
      </c>
      <c r="D202" s="9" t="s">
        <v>555</v>
      </c>
      <c r="E202" s="9" t="s">
        <v>447</v>
      </c>
      <c r="F202" s="9" t="s">
        <v>301</v>
      </c>
      <c r="G202" s="11">
        <v>45566</v>
      </c>
      <c r="H202" s="15" t="s">
        <v>420</v>
      </c>
      <c r="I202" s="15">
        <v>3</v>
      </c>
      <c r="J202" s="9" t="s">
        <v>448</v>
      </c>
      <c r="K202" s="9" t="s">
        <v>249</v>
      </c>
      <c r="L202" s="9" t="s">
        <v>416</v>
      </c>
      <c r="M202" s="9" t="s">
        <v>301</v>
      </c>
      <c r="N202" s="9"/>
    </row>
    <row r="203" spans="1:14" s="13" customFormat="1" ht="50.1" customHeight="1" x14ac:dyDescent="0.25">
      <c r="A203" s="9" t="s">
        <v>556</v>
      </c>
      <c r="B203" s="9" t="s">
        <v>15</v>
      </c>
      <c r="C203" s="9">
        <v>24228529</v>
      </c>
      <c r="D203" s="9" t="s">
        <v>557</v>
      </c>
      <c r="E203" s="9" t="s">
        <v>447</v>
      </c>
      <c r="F203" s="9" t="s">
        <v>301</v>
      </c>
      <c r="G203" s="11">
        <v>45566</v>
      </c>
      <c r="H203" s="15" t="s">
        <v>420</v>
      </c>
      <c r="I203" s="15">
        <v>3</v>
      </c>
      <c r="J203" s="9" t="s">
        <v>448</v>
      </c>
      <c r="K203" s="9" t="s">
        <v>249</v>
      </c>
      <c r="L203" s="9" t="s">
        <v>416</v>
      </c>
      <c r="M203" s="9" t="s">
        <v>301</v>
      </c>
      <c r="N203" s="9"/>
    </row>
    <row r="204" spans="1:14" s="13" customFormat="1" ht="50.1" customHeight="1" x14ac:dyDescent="0.25">
      <c r="A204" s="9" t="s">
        <v>558</v>
      </c>
      <c r="B204" s="9" t="s">
        <v>15</v>
      </c>
      <c r="C204" s="9">
        <v>1115914145</v>
      </c>
      <c r="D204" s="9" t="s">
        <v>306</v>
      </c>
      <c r="E204" s="9" t="s">
        <v>479</v>
      </c>
      <c r="F204" s="9" t="s">
        <v>301</v>
      </c>
      <c r="G204" s="11">
        <v>45566</v>
      </c>
      <c r="H204" s="15" t="s">
        <v>420</v>
      </c>
      <c r="I204" s="15">
        <v>3</v>
      </c>
      <c r="J204" s="9" t="s">
        <v>260</v>
      </c>
      <c r="K204" s="9" t="s">
        <v>249</v>
      </c>
      <c r="L204" s="9" t="s">
        <v>416</v>
      </c>
      <c r="M204" s="9" t="s">
        <v>301</v>
      </c>
      <c r="N204" s="9"/>
    </row>
    <row r="205" spans="1:14" s="13" customFormat="1" ht="50.1" customHeight="1" x14ac:dyDescent="0.25">
      <c r="A205" s="9" t="s">
        <v>559</v>
      </c>
      <c r="B205" s="9" t="s">
        <v>15</v>
      </c>
      <c r="C205" s="9">
        <v>33647141</v>
      </c>
      <c r="D205" s="9" t="s">
        <v>560</v>
      </c>
      <c r="E205" s="9" t="s">
        <v>479</v>
      </c>
      <c r="F205" s="9" t="s">
        <v>301</v>
      </c>
      <c r="G205" s="11">
        <v>45566</v>
      </c>
      <c r="H205" s="15" t="s">
        <v>420</v>
      </c>
      <c r="I205" s="15">
        <v>3</v>
      </c>
      <c r="J205" s="9" t="s">
        <v>260</v>
      </c>
      <c r="K205" s="9" t="s">
        <v>249</v>
      </c>
      <c r="L205" s="9" t="s">
        <v>416</v>
      </c>
      <c r="M205" s="9" t="s">
        <v>301</v>
      </c>
      <c r="N205" s="9"/>
    </row>
    <row r="206" spans="1:14" s="13" customFormat="1" ht="50.1" customHeight="1" x14ac:dyDescent="0.25">
      <c r="A206" s="9" t="s">
        <v>302</v>
      </c>
      <c r="B206" s="9" t="s">
        <v>15</v>
      </c>
      <c r="C206" s="9">
        <v>1053611893</v>
      </c>
      <c r="D206" s="9" t="s">
        <v>303</v>
      </c>
      <c r="E206" s="9" t="s">
        <v>561</v>
      </c>
      <c r="F206" s="9" t="s">
        <v>301</v>
      </c>
      <c r="G206" s="11">
        <v>45566</v>
      </c>
      <c r="H206" s="15" t="s">
        <v>420</v>
      </c>
      <c r="I206" s="15">
        <v>3</v>
      </c>
      <c r="J206" s="9" t="s">
        <v>562</v>
      </c>
      <c r="K206" s="9" t="s">
        <v>436</v>
      </c>
      <c r="L206" s="9" t="s">
        <v>416</v>
      </c>
      <c r="M206" s="9" t="s">
        <v>301</v>
      </c>
      <c r="N206" s="9"/>
    </row>
    <row r="207" spans="1:14" s="13" customFormat="1" ht="50.1" customHeight="1" x14ac:dyDescent="0.25">
      <c r="A207" s="9" t="s">
        <v>563</v>
      </c>
      <c r="B207" s="9" t="s">
        <v>15</v>
      </c>
      <c r="C207" s="9">
        <v>79902734</v>
      </c>
      <c r="D207" s="9" t="s">
        <v>564</v>
      </c>
      <c r="E207" s="9" t="s">
        <v>486</v>
      </c>
      <c r="F207" s="9" t="s">
        <v>301</v>
      </c>
      <c r="G207" s="11">
        <v>45567</v>
      </c>
      <c r="H207" s="15" t="s">
        <v>420</v>
      </c>
      <c r="I207" s="15">
        <v>3</v>
      </c>
      <c r="J207" s="9" t="s">
        <v>264</v>
      </c>
      <c r="K207" s="9" t="s">
        <v>249</v>
      </c>
      <c r="L207" s="9" t="s">
        <v>416</v>
      </c>
      <c r="M207" s="9" t="s">
        <v>301</v>
      </c>
      <c r="N207" s="9"/>
    </row>
    <row r="208" spans="1:14" s="13" customFormat="1" ht="50.1" customHeight="1" x14ac:dyDescent="0.25">
      <c r="A208" s="9" t="s">
        <v>565</v>
      </c>
      <c r="B208" s="9" t="s">
        <v>15</v>
      </c>
      <c r="C208" s="9">
        <v>80100600</v>
      </c>
      <c r="D208" s="9" t="s">
        <v>566</v>
      </c>
      <c r="E208" s="9" t="s">
        <v>491</v>
      </c>
      <c r="F208" s="9" t="s">
        <v>301</v>
      </c>
      <c r="G208" s="11">
        <v>45566</v>
      </c>
      <c r="H208" s="15" t="s">
        <v>420</v>
      </c>
      <c r="I208" s="15">
        <v>3</v>
      </c>
      <c r="J208" s="9" t="s">
        <v>268</v>
      </c>
      <c r="K208" s="9" t="s">
        <v>249</v>
      </c>
      <c r="L208" s="9" t="s">
        <v>416</v>
      </c>
      <c r="M208" s="9" t="s">
        <v>301</v>
      </c>
      <c r="N208" s="9"/>
    </row>
    <row r="209" spans="1:14" s="13" customFormat="1" ht="50.1" customHeight="1" x14ac:dyDescent="0.25">
      <c r="A209" s="9" t="s">
        <v>567</v>
      </c>
      <c r="B209" s="9" t="s">
        <v>15</v>
      </c>
      <c r="C209" s="9">
        <v>88158913</v>
      </c>
      <c r="D209" s="9" t="s">
        <v>568</v>
      </c>
      <c r="E209" s="9" t="s">
        <v>491</v>
      </c>
      <c r="F209" s="9" t="s">
        <v>301</v>
      </c>
      <c r="G209" s="11">
        <v>45573</v>
      </c>
      <c r="H209" s="15" t="s">
        <v>420</v>
      </c>
      <c r="I209" s="15">
        <v>3</v>
      </c>
      <c r="J209" s="9" t="s">
        <v>268</v>
      </c>
      <c r="K209" s="9" t="s">
        <v>249</v>
      </c>
      <c r="L209" s="9" t="s">
        <v>416</v>
      </c>
      <c r="M209" s="9" t="s">
        <v>301</v>
      </c>
      <c r="N209" s="9"/>
    </row>
    <row r="210" spans="1:14" s="13" customFormat="1" ht="50.1" customHeight="1" x14ac:dyDescent="0.25">
      <c r="A210" s="9" t="s">
        <v>569</v>
      </c>
      <c r="B210" s="9" t="s">
        <v>15</v>
      </c>
      <c r="C210" s="9">
        <v>1075271569</v>
      </c>
      <c r="D210" s="9" t="s">
        <v>570</v>
      </c>
      <c r="E210" s="9" t="s">
        <v>571</v>
      </c>
      <c r="F210" s="9" t="s">
        <v>572</v>
      </c>
      <c r="G210" s="11">
        <v>45373</v>
      </c>
      <c r="H210" s="15" t="s">
        <v>104</v>
      </c>
      <c r="I210" s="15">
        <v>3</v>
      </c>
      <c r="J210" s="9" t="s">
        <v>573</v>
      </c>
      <c r="K210" s="9" t="s">
        <v>574</v>
      </c>
      <c r="L210" s="9" t="s">
        <v>416</v>
      </c>
      <c r="M210" s="9" t="s">
        <v>572</v>
      </c>
      <c r="N210" s="9"/>
    </row>
    <row r="211" spans="1:14" s="13" customFormat="1" ht="50.1" customHeight="1" x14ac:dyDescent="0.25">
      <c r="A211" s="9" t="s">
        <v>575</v>
      </c>
      <c r="B211" s="9" t="s">
        <v>15</v>
      </c>
      <c r="C211" s="9">
        <v>1098774228</v>
      </c>
      <c r="D211" s="9" t="s">
        <v>576</v>
      </c>
      <c r="E211" s="9" t="s">
        <v>577</v>
      </c>
      <c r="F211" s="9" t="s">
        <v>572</v>
      </c>
      <c r="G211" s="11">
        <v>45481</v>
      </c>
      <c r="H211" s="15" t="s">
        <v>104</v>
      </c>
      <c r="I211" s="15">
        <v>3</v>
      </c>
      <c r="J211" s="9" t="s">
        <v>578</v>
      </c>
      <c r="K211" s="9" t="s">
        <v>574</v>
      </c>
      <c r="L211" s="9" t="s">
        <v>416</v>
      </c>
      <c r="M211" s="9" t="s">
        <v>572</v>
      </c>
      <c r="N211" s="9"/>
    </row>
    <row r="212" spans="1:14" s="13" customFormat="1" ht="50.1" customHeight="1" x14ac:dyDescent="0.25">
      <c r="A212" s="9" t="s">
        <v>579</v>
      </c>
      <c r="B212" s="9" t="s">
        <v>15</v>
      </c>
      <c r="C212" s="9">
        <v>1053788938</v>
      </c>
      <c r="D212" s="9" t="s">
        <v>580</v>
      </c>
      <c r="E212" s="9" t="s">
        <v>581</v>
      </c>
      <c r="F212" s="9" t="s">
        <v>572</v>
      </c>
      <c r="G212" s="11">
        <v>43770</v>
      </c>
      <c r="H212" s="15" t="s">
        <v>104</v>
      </c>
      <c r="I212" s="15">
        <v>3</v>
      </c>
      <c r="J212" s="9" t="s">
        <v>435</v>
      </c>
      <c r="K212" s="9" t="s">
        <v>582</v>
      </c>
      <c r="L212" s="9" t="s">
        <v>416</v>
      </c>
      <c r="M212" s="9" t="s">
        <v>572</v>
      </c>
      <c r="N212" s="9"/>
    </row>
    <row r="213" spans="1:14" s="13" customFormat="1" ht="50.1" customHeight="1" x14ac:dyDescent="0.25">
      <c r="A213" s="9" t="s">
        <v>583</v>
      </c>
      <c r="B213" s="9" t="s">
        <v>15</v>
      </c>
      <c r="C213" s="9">
        <v>1075248439</v>
      </c>
      <c r="D213" s="9" t="s">
        <v>584</v>
      </c>
      <c r="E213" s="9" t="s">
        <v>585</v>
      </c>
      <c r="F213" s="9" t="s">
        <v>572</v>
      </c>
      <c r="G213" s="11">
        <v>45629</v>
      </c>
      <c r="H213" s="15" t="s">
        <v>104</v>
      </c>
      <c r="I213" s="15">
        <v>3</v>
      </c>
      <c r="J213" s="9" t="s">
        <v>586</v>
      </c>
      <c r="K213" s="9" t="s">
        <v>574</v>
      </c>
      <c r="L213" s="9" t="s">
        <v>416</v>
      </c>
      <c r="M213" s="9" t="s">
        <v>572</v>
      </c>
      <c r="N213" s="9"/>
    </row>
    <row r="214" spans="1:14" s="13" customFormat="1" ht="50.1" customHeight="1" x14ac:dyDescent="0.25">
      <c r="A214" s="9" t="s">
        <v>587</v>
      </c>
      <c r="B214" s="9" t="s">
        <v>15</v>
      </c>
      <c r="C214" s="9">
        <v>1121913534</v>
      </c>
      <c r="D214" s="9" t="s">
        <v>588</v>
      </c>
      <c r="E214" s="9" t="s">
        <v>585</v>
      </c>
      <c r="F214" s="9" t="s">
        <v>572</v>
      </c>
      <c r="G214" s="11">
        <v>45373</v>
      </c>
      <c r="H214" s="15" t="s">
        <v>104</v>
      </c>
      <c r="I214" s="15">
        <v>3</v>
      </c>
      <c r="J214" s="9" t="s">
        <v>586</v>
      </c>
      <c r="K214" s="9" t="s">
        <v>574</v>
      </c>
      <c r="L214" s="9" t="s">
        <v>416</v>
      </c>
      <c r="M214" s="9" t="s">
        <v>572</v>
      </c>
      <c r="N214" s="9"/>
    </row>
    <row r="215" spans="1:14" s="13" customFormat="1" ht="50.1" customHeight="1" x14ac:dyDescent="0.25">
      <c r="A215" s="9" t="s">
        <v>589</v>
      </c>
      <c r="B215" s="9" t="s">
        <v>15</v>
      </c>
      <c r="C215" s="9">
        <v>1026267917</v>
      </c>
      <c r="D215" s="9" t="s">
        <v>590</v>
      </c>
      <c r="E215" s="9" t="s">
        <v>585</v>
      </c>
      <c r="F215" s="9" t="s">
        <v>572</v>
      </c>
      <c r="G215" s="11">
        <v>45331</v>
      </c>
      <c r="H215" s="15" t="s">
        <v>104</v>
      </c>
      <c r="I215" s="15">
        <v>3</v>
      </c>
      <c r="J215" s="9" t="s">
        <v>586</v>
      </c>
      <c r="K215" s="9" t="s">
        <v>574</v>
      </c>
      <c r="L215" s="9" t="s">
        <v>416</v>
      </c>
      <c r="M215" s="9" t="s">
        <v>572</v>
      </c>
      <c r="N215" s="9"/>
    </row>
    <row r="216" spans="1:14" s="13" customFormat="1" ht="50.1" customHeight="1" x14ac:dyDescent="0.25">
      <c r="A216" s="9" t="s">
        <v>591</v>
      </c>
      <c r="B216" s="9" t="s">
        <v>15</v>
      </c>
      <c r="C216" s="9">
        <v>1098712563</v>
      </c>
      <c r="D216" s="9" t="s">
        <v>592</v>
      </c>
      <c r="E216" s="9" t="s">
        <v>585</v>
      </c>
      <c r="F216" s="9" t="s">
        <v>572</v>
      </c>
      <c r="G216" s="11">
        <v>45195</v>
      </c>
      <c r="H216" s="15" t="s">
        <v>104</v>
      </c>
      <c r="I216" s="15">
        <v>3</v>
      </c>
      <c r="J216" s="9" t="s">
        <v>586</v>
      </c>
      <c r="K216" s="9" t="s">
        <v>574</v>
      </c>
      <c r="L216" s="9" t="s">
        <v>416</v>
      </c>
      <c r="M216" s="9" t="s">
        <v>572</v>
      </c>
      <c r="N216" s="9"/>
    </row>
    <row r="217" spans="1:14" s="13" customFormat="1" ht="50.1" customHeight="1" x14ac:dyDescent="0.25">
      <c r="A217" s="9" t="s">
        <v>593</v>
      </c>
      <c r="B217" s="9" t="s">
        <v>15</v>
      </c>
      <c r="C217" s="9">
        <v>1076660759</v>
      </c>
      <c r="D217" s="9" t="s">
        <v>594</v>
      </c>
      <c r="E217" s="9" t="s">
        <v>571</v>
      </c>
      <c r="F217" s="9" t="s">
        <v>572</v>
      </c>
      <c r="G217" s="11">
        <v>45366</v>
      </c>
      <c r="H217" s="15" t="s">
        <v>104</v>
      </c>
      <c r="I217" s="15">
        <v>3</v>
      </c>
      <c r="J217" s="9" t="s">
        <v>573</v>
      </c>
      <c r="K217" s="9" t="s">
        <v>574</v>
      </c>
      <c r="L217" s="9" t="s">
        <v>416</v>
      </c>
      <c r="M217" s="9" t="s">
        <v>572</v>
      </c>
      <c r="N217" s="9"/>
    </row>
    <row r="218" spans="1:14" s="13" customFormat="1" ht="50.1" customHeight="1" x14ac:dyDescent="0.25">
      <c r="A218" s="9" t="s">
        <v>595</v>
      </c>
      <c r="B218" s="9" t="s">
        <v>15</v>
      </c>
      <c r="C218" s="9">
        <v>1019133012</v>
      </c>
      <c r="D218" s="9" t="s">
        <v>596</v>
      </c>
      <c r="E218" s="9" t="s">
        <v>597</v>
      </c>
      <c r="F218" s="9" t="s">
        <v>572</v>
      </c>
      <c r="G218" s="11">
        <v>45317</v>
      </c>
      <c r="H218" s="15" t="s">
        <v>104</v>
      </c>
      <c r="I218" s="15">
        <v>3</v>
      </c>
      <c r="J218" s="9" t="s">
        <v>578</v>
      </c>
      <c r="K218" s="9" t="s">
        <v>574</v>
      </c>
      <c r="L218" s="9" t="s">
        <v>416</v>
      </c>
      <c r="M218" s="9" t="s">
        <v>572</v>
      </c>
      <c r="N218" s="9"/>
    </row>
    <row r="219" spans="1:14" s="13" customFormat="1" ht="50.1" customHeight="1" x14ac:dyDescent="0.25">
      <c r="A219" s="9" t="s">
        <v>598</v>
      </c>
      <c r="B219" s="9" t="s">
        <v>15</v>
      </c>
      <c r="C219" s="9">
        <v>1096955344</v>
      </c>
      <c r="D219" s="9" t="s">
        <v>599</v>
      </c>
      <c r="E219" s="9" t="s">
        <v>597</v>
      </c>
      <c r="F219" s="9" t="s">
        <v>572</v>
      </c>
      <c r="G219" s="11">
        <v>45352</v>
      </c>
      <c r="H219" s="15" t="s">
        <v>104</v>
      </c>
      <c r="I219" s="15">
        <v>3</v>
      </c>
      <c r="J219" s="9" t="s">
        <v>578</v>
      </c>
      <c r="K219" s="9" t="s">
        <v>574</v>
      </c>
      <c r="L219" s="9" t="s">
        <v>416</v>
      </c>
      <c r="M219" s="9" t="s">
        <v>572</v>
      </c>
      <c r="N219" s="9"/>
    </row>
    <row r="220" spans="1:14" s="13" customFormat="1" ht="50.1" customHeight="1" x14ac:dyDescent="0.25">
      <c r="A220" s="9" t="s">
        <v>600</v>
      </c>
      <c r="B220" s="9" t="s">
        <v>15</v>
      </c>
      <c r="C220" s="9">
        <v>1075295727</v>
      </c>
      <c r="D220" s="9" t="s">
        <v>601</v>
      </c>
      <c r="E220" s="9" t="s">
        <v>602</v>
      </c>
      <c r="F220" s="9" t="s">
        <v>572</v>
      </c>
      <c r="G220" s="11">
        <v>45486</v>
      </c>
      <c r="H220" s="15" t="s">
        <v>104</v>
      </c>
      <c r="I220" s="15">
        <v>3</v>
      </c>
      <c r="J220" s="9" t="s">
        <v>586</v>
      </c>
      <c r="K220" s="9" t="s">
        <v>574</v>
      </c>
      <c r="L220" s="9" t="s">
        <v>416</v>
      </c>
      <c r="M220" s="9" t="s">
        <v>572</v>
      </c>
      <c r="N220" s="9"/>
    </row>
    <row r="221" spans="1:14" s="13" customFormat="1" ht="50.1" customHeight="1" x14ac:dyDescent="0.25">
      <c r="A221" s="9" t="s">
        <v>603</v>
      </c>
      <c r="B221" s="9" t="s">
        <v>15</v>
      </c>
      <c r="C221" s="9">
        <v>1015449004</v>
      </c>
      <c r="D221" s="9" t="s">
        <v>604</v>
      </c>
      <c r="E221" s="9" t="s">
        <v>602</v>
      </c>
      <c r="F221" s="9" t="s">
        <v>572</v>
      </c>
      <c r="G221" s="11">
        <v>45475</v>
      </c>
      <c r="H221" s="15" t="s">
        <v>104</v>
      </c>
      <c r="I221" s="15">
        <v>3</v>
      </c>
      <c r="J221" s="9" t="s">
        <v>586</v>
      </c>
      <c r="K221" s="9" t="s">
        <v>574</v>
      </c>
      <c r="L221" s="9" t="s">
        <v>416</v>
      </c>
      <c r="M221" s="9" t="s">
        <v>572</v>
      </c>
      <c r="N221" s="9"/>
    </row>
    <row r="222" spans="1:14" s="13" customFormat="1" ht="50.1" customHeight="1" x14ac:dyDescent="0.25">
      <c r="A222" s="9" t="s">
        <v>605</v>
      </c>
      <c r="B222" s="9" t="s">
        <v>15</v>
      </c>
      <c r="C222" s="9">
        <v>1019152161</v>
      </c>
      <c r="D222" s="9" t="s">
        <v>606</v>
      </c>
      <c r="E222" s="9" t="s">
        <v>607</v>
      </c>
      <c r="F222" s="9" t="s">
        <v>572</v>
      </c>
      <c r="G222" s="11">
        <v>45485</v>
      </c>
      <c r="H222" s="15" t="s">
        <v>104</v>
      </c>
      <c r="I222" s="15">
        <v>3</v>
      </c>
      <c r="J222" s="9" t="s">
        <v>573</v>
      </c>
      <c r="K222" s="9" t="s">
        <v>574</v>
      </c>
      <c r="L222" s="9" t="s">
        <v>416</v>
      </c>
      <c r="M222" s="9" t="s">
        <v>572</v>
      </c>
      <c r="N222" s="9"/>
    </row>
    <row r="223" spans="1:14" s="13" customFormat="1" ht="50.1" customHeight="1" x14ac:dyDescent="0.25">
      <c r="A223" s="9" t="s">
        <v>608</v>
      </c>
      <c r="B223" s="9" t="s">
        <v>15</v>
      </c>
      <c r="C223" s="20">
        <v>1032446831</v>
      </c>
      <c r="D223" s="9" t="s">
        <v>609</v>
      </c>
      <c r="E223" s="9" t="s">
        <v>610</v>
      </c>
      <c r="F223" s="34" t="s">
        <v>611</v>
      </c>
      <c r="G223" s="11">
        <v>45526</v>
      </c>
      <c r="H223" s="15" t="s">
        <v>104</v>
      </c>
      <c r="I223" s="15">
        <v>3</v>
      </c>
      <c r="J223" s="20" t="s">
        <v>612</v>
      </c>
      <c r="K223" s="9" t="s">
        <v>613</v>
      </c>
      <c r="L223" s="9" t="s">
        <v>416</v>
      </c>
      <c r="M223" s="9" t="s">
        <v>611</v>
      </c>
      <c r="N223" s="9"/>
    </row>
    <row r="231" spans="11:23" x14ac:dyDescent="0.25"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</sheetData>
  <conditionalFormatting sqref="C96">
    <cfRule type="duplicateValues" dxfId="0" priority="1"/>
  </conditionalFormatting>
  <dataValidations count="1">
    <dataValidation type="list" allowBlank="1" showInputMessage="1" showErrorMessage="1" sqref="B160">
      <formula1>#REF!</formula1>
    </dataValidation>
  </dataValidations>
  <hyperlinks>
    <hyperlink ref="D96" r:id="rId1"/>
    <hyperlink ref="D107" r:id="rId2" display="christian.pardo@meridianecp.com"/>
    <hyperlink ref="D122" r:id="rId3" display="john.rojas@meridianecp.com"/>
    <hyperlink ref="J18" location="'Profesional Basico Sergio_F_P'!A1" display="Profesional Basico Sergio_F_P"/>
    <hyperlink ref="J19:J77" location="'Profesional Basico Sergio_F_P'!A1" display="Profesional Basico Sergio_F_P"/>
    <hyperlink ref="J107:J130" location="'Profesional Basico Sergio_F_P'!A1" display="Profesional Basico Sergio_F_P"/>
    <hyperlink ref="J131" location="'Profesional Basico Sergio_F_P'!A1" display="Profesional Basico Sergio_F_P"/>
    <hyperlink ref="J132" location="'Profesional Basico Sergio_F_P'!A1" display="Profesional Basico Sergio_F_P"/>
    <hyperlink ref="J133" location="'Profesional Basico Sergio_F_P'!A1" display="Profesional Basico Sergio_F_P"/>
    <hyperlink ref="J134" location="'Profesional Basico Sergio_F_P'!A1" display="Profesional Basico Sergio_F_P"/>
    <hyperlink ref="J135" location="'Profesional Basico Sergio_F_P'!A1" display="Profesional Basico Sergio_F_P"/>
    <hyperlink ref="J136" location="'Profesional Basico Sergio_F_P'!A1" display="Profesional Basico Sergio_F_P"/>
    <hyperlink ref="J137" location="'Profesional Basico Sergio_F_P'!A1" display="Profesional Basico Sergio_F_P"/>
    <hyperlink ref="J138" location="'Profesional Basico Sergio_F_P'!A1" display="Profesional Basico Sergio_F_P"/>
    <hyperlink ref="J139" location="'Profesional Basico Sergio_F_P'!A1" display="Profesional Basico Sergio_F_P"/>
    <hyperlink ref="J140" location="'Profesional Basico Sergio_F_P'!A1" display="Profesional Basico Sergio_F_P"/>
    <hyperlink ref="J141" location="'Profesional Basico Sergio_F_P'!A1" display="Profesional Basico Sergio_F_P"/>
    <hyperlink ref="J142" location="'Profesional Basico Sergio_F_P'!A1" display="Profesional Basico Sergio_F_P"/>
    <hyperlink ref="J143" location="'Profesional Basico Sergio_F_P'!A1" display="Profesional Basico Sergio_F_P"/>
    <hyperlink ref="J144" location="'Profesional Basico Sergio_F_P'!A1" display="Profesional Basico Sergio_F_P"/>
    <hyperlink ref="J145" location="'Profesional Basico Sergio_F_P'!A1" display="Profesional Basico Sergio_F_P"/>
    <hyperlink ref="J146" location="'Profesional Basico Sergio_F_P'!A1" display="Profesional Basico Sergio_F_P"/>
  </hyperlinks>
  <pageMargins left="0.7" right="0.7" top="0.75" bottom="0.75" header="0.3" footer="0.3"/>
  <pageSetup orientation="portrait" horizontalDpi="200" verticalDpi="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Personal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Mateo Lopez Cifuentes</dc:creator>
  <cp:lastModifiedBy>Jose Mateo Lopez Cifuentes</cp:lastModifiedBy>
  <dcterms:created xsi:type="dcterms:W3CDTF">2025-03-20T13:28:47Z</dcterms:created>
  <dcterms:modified xsi:type="dcterms:W3CDTF">2025-03-20T15:36:38Z</dcterms:modified>
</cp:coreProperties>
</file>